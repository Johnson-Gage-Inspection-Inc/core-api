
<file path=[Content_Types].xml><?xml version="1.0" encoding="utf-8"?>
<Types xmlns="http://schemas.openxmlformats.org/package/2006/content-types">
  <Default Extension="bin" ContentType="application/vnd.openxmlformats-officedocument.spreadsheetml.customProperty"/>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drawings/drawing1.xml" ContentType="application/vnd.openxmlformats-officedocument.drawing+xml"/>
  <Override PartName="/xl/ctrlProps/ctrlProp1.xml" ContentType="application/vnd.ms-excel.controlproperties+xml"/>
  <Override PartName="/xl/printerSettings/printerSettings2.bin" ContentType="application/vnd.openxmlformats-officedocument.spreadsheetml.printerSettings"/>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jgiquality.sharepoint.com/sites/JGI/Shared Documents/Pyro/Pyro_Standards/"/>
    </mc:Choice>
  </mc:AlternateContent>
  <xr:revisionPtr revIDLastSave="1" documentId="8_{E8F38710-46A8-4105-9725-66620F2C5D7D}" xr6:coauthVersionLast="47" xr6:coauthVersionMax="47" xr10:uidLastSave="{8B50A229-7C6C-4635-AFC0-B101BFB80D78}"/>
  <bookViews>
    <workbookView xWindow="-120" yWindow="-120" windowWidth="29040" windowHeight="15720" activeTab="2" xr2:uid="{00000000-000D-0000-FFFF-FFFF00000000}"/>
  </bookViews>
  <sheets>
    <sheet name="Sheet1" sheetId="5" r:id="rId1"/>
    <sheet name="Worksheet" sheetId="1" r:id="rId2"/>
    <sheet name="Cert" sheetId="2" r:id="rId3"/>
    <sheet name="Customer List" sheetId="3" r:id="rId4"/>
    <sheet name="Selections" sheetId="4" r:id="rId5"/>
  </sheets>
  <externalReferences>
    <externalReference r:id="rId6"/>
  </externalReferences>
  <definedNames>
    <definedName name="Locator">Worksheet!$LCB$524288</definedName>
    <definedName name="_xlnm.Print_Area" localSheetId="2">Cert!$A$1:$J$309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N3" i="2"/>
  <c r="M3" i="2"/>
  <c r="L3" i="2"/>
  <c r="B308" i="2" l="1"/>
  <c r="B307" i="2"/>
  <c r="B306" i="2"/>
  <c r="B305" i="2"/>
  <c r="B304" i="2"/>
  <c r="B303" i="2"/>
  <c r="B300" i="2"/>
  <c r="B299" i="2"/>
  <c r="B298" i="2"/>
  <c r="B297" i="2"/>
  <c r="B296" i="2"/>
  <c r="B295" i="2"/>
  <c r="B292" i="2"/>
  <c r="B291" i="2"/>
  <c r="B290" i="2"/>
  <c r="B289" i="2"/>
  <c r="B288" i="2"/>
  <c r="B287" i="2"/>
  <c r="B284" i="2"/>
  <c r="B283" i="2"/>
  <c r="B282" i="2"/>
  <c r="B281" i="2"/>
  <c r="B280" i="2"/>
  <c r="B279" i="2"/>
  <c r="B276" i="2"/>
  <c r="B275" i="2"/>
  <c r="B274" i="2"/>
  <c r="B273" i="2"/>
  <c r="B272" i="2"/>
  <c r="B271" i="2"/>
  <c r="B268" i="2"/>
  <c r="B267" i="2"/>
  <c r="B266" i="2"/>
  <c r="B265" i="2"/>
  <c r="B264" i="2"/>
  <c r="B263" i="2"/>
  <c r="B260" i="2"/>
  <c r="B259" i="2"/>
  <c r="B258" i="2"/>
  <c r="B257" i="2"/>
  <c r="B256" i="2"/>
  <c r="B255" i="2"/>
  <c r="F302" i="2"/>
  <c r="E302" i="2"/>
  <c r="D302" i="2"/>
  <c r="C302" i="2"/>
  <c r="H294" i="2"/>
  <c r="G294" i="2"/>
  <c r="F294" i="2"/>
  <c r="E294" i="2"/>
  <c r="D294" i="2"/>
  <c r="C294" i="2"/>
  <c r="H286" i="2"/>
  <c r="G286" i="2"/>
  <c r="F286" i="2"/>
  <c r="E286" i="2"/>
  <c r="D286" i="2"/>
  <c r="C286" i="2"/>
  <c r="H278" i="2"/>
  <c r="G278" i="2"/>
  <c r="F278" i="2"/>
  <c r="E278" i="2"/>
  <c r="D278" i="2"/>
  <c r="C278" i="2"/>
  <c r="H270" i="2"/>
  <c r="G270" i="2"/>
  <c r="F270" i="2"/>
  <c r="E270" i="2"/>
  <c r="D270" i="2"/>
  <c r="C270" i="2"/>
  <c r="H262" i="2"/>
  <c r="G262" i="2"/>
  <c r="F262" i="2"/>
  <c r="E262" i="2"/>
  <c r="D262" i="2"/>
  <c r="C262" i="2"/>
  <c r="H254" i="2"/>
  <c r="G254" i="2"/>
  <c r="F254" i="2"/>
  <c r="E254" i="2"/>
  <c r="D254" i="2"/>
  <c r="C254" i="2"/>
  <c r="C252" i="2"/>
  <c r="CB34" i="1"/>
  <c r="F308" i="2" s="1"/>
  <c r="CA34" i="1"/>
  <c r="E308" i="2" s="1"/>
  <c r="BZ34" i="1"/>
  <c r="D308" i="2" s="1"/>
  <c r="BY34" i="1"/>
  <c r="C308" i="2" s="1"/>
  <c r="CB33" i="1"/>
  <c r="F307" i="2" s="1"/>
  <c r="CA33" i="1"/>
  <c r="E307" i="2" s="1"/>
  <c r="BZ33" i="1"/>
  <c r="D307" i="2" s="1"/>
  <c r="BY33" i="1"/>
  <c r="C307" i="2" s="1"/>
  <c r="CB32" i="1"/>
  <c r="F306" i="2" s="1"/>
  <c r="CA32" i="1"/>
  <c r="E306" i="2" s="1"/>
  <c r="BZ32" i="1"/>
  <c r="D306" i="2" s="1"/>
  <c r="BY32" i="1"/>
  <c r="C306" i="2" s="1"/>
  <c r="CB31" i="1"/>
  <c r="F305" i="2" s="1"/>
  <c r="CA31" i="1"/>
  <c r="E305" i="2" s="1"/>
  <c r="BZ31" i="1"/>
  <c r="D305" i="2" s="1"/>
  <c r="BY31" i="1"/>
  <c r="C305" i="2" s="1"/>
  <c r="CB30" i="1"/>
  <c r="F304" i="2" s="1"/>
  <c r="CA30" i="1"/>
  <c r="E304" i="2" s="1"/>
  <c r="BZ30" i="1"/>
  <c r="D304" i="2" s="1"/>
  <c r="BY30" i="1"/>
  <c r="C304" i="2" s="1"/>
  <c r="CB29" i="1"/>
  <c r="F303" i="2" s="1"/>
  <c r="CA29" i="1"/>
  <c r="E303" i="2" s="1"/>
  <c r="BZ29" i="1"/>
  <c r="D303" i="2" s="1"/>
  <c r="BY29" i="1"/>
  <c r="C303" i="2" s="1"/>
  <c r="CD26" i="1"/>
  <c r="H300" i="2" s="1"/>
  <c r="CC26" i="1"/>
  <c r="G300" i="2" s="1"/>
  <c r="CB26" i="1"/>
  <c r="F300" i="2" s="1"/>
  <c r="CA26" i="1"/>
  <c r="E300" i="2" s="1"/>
  <c r="BZ26" i="1"/>
  <c r="D300" i="2" s="1"/>
  <c r="BY26" i="1"/>
  <c r="C300" i="2" s="1"/>
  <c r="CD25" i="1"/>
  <c r="H299" i="2" s="1"/>
  <c r="CC25" i="1"/>
  <c r="G299" i="2" s="1"/>
  <c r="CB25" i="1"/>
  <c r="F299" i="2" s="1"/>
  <c r="CA25" i="1"/>
  <c r="E299" i="2" s="1"/>
  <c r="BZ25" i="1"/>
  <c r="D299" i="2" s="1"/>
  <c r="BY25" i="1"/>
  <c r="C299" i="2" s="1"/>
  <c r="CD24" i="1"/>
  <c r="H298" i="2" s="1"/>
  <c r="CC24" i="1"/>
  <c r="G298" i="2" s="1"/>
  <c r="CB24" i="1"/>
  <c r="F298" i="2" s="1"/>
  <c r="CA24" i="1"/>
  <c r="E298" i="2" s="1"/>
  <c r="BZ24" i="1"/>
  <c r="D298" i="2" s="1"/>
  <c r="BY24" i="1"/>
  <c r="C298" i="2" s="1"/>
  <c r="CD23" i="1"/>
  <c r="H297" i="2" s="1"/>
  <c r="CC23" i="1"/>
  <c r="G297" i="2" s="1"/>
  <c r="CB23" i="1"/>
  <c r="F297" i="2" s="1"/>
  <c r="CA23" i="1"/>
  <c r="E297" i="2" s="1"/>
  <c r="BZ23" i="1"/>
  <c r="D297" i="2" s="1"/>
  <c r="BY23" i="1"/>
  <c r="C297" i="2" s="1"/>
  <c r="CD22" i="1"/>
  <c r="H296" i="2" s="1"/>
  <c r="CC22" i="1"/>
  <c r="G296" i="2" s="1"/>
  <c r="CB22" i="1"/>
  <c r="F296" i="2" s="1"/>
  <c r="CA22" i="1"/>
  <c r="E296" i="2" s="1"/>
  <c r="BZ22" i="1"/>
  <c r="D296" i="2" s="1"/>
  <c r="BY22" i="1"/>
  <c r="C296" i="2" s="1"/>
  <c r="CD21" i="1"/>
  <c r="H295" i="2" s="1"/>
  <c r="CC21" i="1"/>
  <c r="G295" i="2" s="1"/>
  <c r="CB21" i="1"/>
  <c r="F295" i="2" s="1"/>
  <c r="CA21" i="1"/>
  <c r="E295" i="2" s="1"/>
  <c r="BZ21" i="1"/>
  <c r="D295" i="2" s="1"/>
  <c r="BY21" i="1"/>
  <c r="C295" i="2" s="1"/>
  <c r="CD18" i="1"/>
  <c r="H292" i="2" s="1"/>
  <c r="CC18" i="1"/>
  <c r="G292" i="2" s="1"/>
  <c r="CB18" i="1"/>
  <c r="F292" i="2" s="1"/>
  <c r="CA18" i="1"/>
  <c r="E292" i="2" s="1"/>
  <c r="BZ18" i="1"/>
  <c r="D292" i="2" s="1"/>
  <c r="BY18" i="1"/>
  <c r="C292" i="2" s="1"/>
  <c r="CD17" i="1"/>
  <c r="H291" i="2" s="1"/>
  <c r="CC17" i="1"/>
  <c r="G291" i="2" s="1"/>
  <c r="CB17" i="1"/>
  <c r="F291" i="2" s="1"/>
  <c r="CA17" i="1"/>
  <c r="E291" i="2" s="1"/>
  <c r="BZ17" i="1"/>
  <c r="D291" i="2" s="1"/>
  <c r="BY17" i="1"/>
  <c r="C291" i="2" s="1"/>
  <c r="CD16" i="1"/>
  <c r="H290" i="2" s="1"/>
  <c r="CC16" i="1"/>
  <c r="G290" i="2" s="1"/>
  <c r="CB16" i="1"/>
  <c r="F290" i="2" s="1"/>
  <c r="CA16" i="1"/>
  <c r="E290" i="2" s="1"/>
  <c r="BZ16" i="1"/>
  <c r="D290" i="2" s="1"/>
  <c r="BY16" i="1"/>
  <c r="C290" i="2" s="1"/>
  <c r="CD15" i="1"/>
  <c r="H289" i="2" s="1"/>
  <c r="CC15" i="1"/>
  <c r="G289" i="2" s="1"/>
  <c r="CB15" i="1"/>
  <c r="F289" i="2" s="1"/>
  <c r="CA15" i="1"/>
  <c r="E289" i="2" s="1"/>
  <c r="BZ15" i="1"/>
  <c r="D289" i="2" s="1"/>
  <c r="BY15" i="1"/>
  <c r="C289" i="2" s="1"/>
  <c r="CD14" i="1"/>
  <c r="H288" i="2" s="1"/>
  <c r="CC14" i="1"/>
  <c r="G288" i="2" s="1"/>
  <c r="CB14" i="1"/>
  <c r="F288" i="2" s="1"/>
  <c r="CA14" i="1"/>
  <c r="E288" i="2" s="1"/>
  <c r="BZ14" i="1"/>
  <c r="D288" i="2" s="1"/>
  <c r="BY14" i="1"/>
  <c r="C288" i="2" s="1"/>
  <c r="CD13" i="1"/>
  <c r="H287" i="2" s="1"/>
  <c r="CC13" i="1"/>
  <c r="G287" i="2" s="1"/>
  <c r="CB13" i="1"/>
  <c r="F287" i="2" s="1"/>
  <c r="CA13" i="1"/>
  <c r="E287" i="2" s="1"/>
  <c r="BZ13" i="1"/>
  <c r="D287" i="2" s="1"/>
  <c r="BY13" i="1"/>
  <c r="C287" i="2" s="1"/>
  <c r="BV42" i="1"/>
  <c r="H284" i="2" s="1"/>
  <c r="BU42" i="1"/>
  <c r="G284" i="2" s="1"/>
  <c r="BT42" i="1"/>
  <c r="F284" i="2" s="1"/>
  <c r="BS42" i="1"/>
  <c r="E284" i="2" s="1"/>
  <c r="BR42" i="1"/>
  <c r="D284" i="2" s="1"/>
  <c r="BQ42" i="1"/>
  <c r="C284" i="2" s="1"/>
  <c r="BV41" i="1"/>
  <c r="H283" i="2" s="1"/>
  <c r="BU41" i="1"/>
  <c r="G283" i="2" s="1"/>
  <c r="BT41" i="1"/>
  <c r="F283" i="2" s="1"/>
  <c r="BS41" i="1"/>
  <c r="E283" i="2" s="1"/>
  <c r="BR41" i="1"/>
  <c r="D283" i="2" s="1"/>
  <c r="BQ41" i="1"/>
  <c r="C283" i="2" s="1"/>
  <c r="BV40" i="1"/>
  <c r="H282" i="2" s="1"/>
  <c r="BU40" i="1"/>
  <c r="G282" i="2" s="1"/>
  <c r="BT40" i="1"/>
  <c r="F282" i="2" s="1"/>
  <c r="BS40" i="1"/>
  <c r="E282" i="2" s="1"/>
  <c r="BR40" i="1"/>
  <c r="D282" i="2" s="1"/>
  <c r="BQ40" i="1"/>
  <c r="C282" i="2" s="1"/>
  <c r="BV39" i="1"/>
  <c r="H281" i="2" s="1"/>
  <c r="BU39" i="1"/>
  <c r="G281" i="2" s="1"/>
  <c r="BT39" i="1"/>
  <c r="F281" i="2" s="1"/>
  <c r="BS39" i="1"/>
  <c r="E281" i="2" s="1"/>
  <c r="BR39" i="1"/>
  <c r="D281" i="2" s="1"/>
  <c r="BQ39" i="1"/>
  <c r="C281" i="2" s="1"/>
  <c r="BV38" i="1"/>
  <c r="H280" i="2" s="1"/>
  <c r="BU38" i="1"/>
  <c r="G280" i="2" s="1"/>
  <c r="BT38" i="1"/>
  <c r="F280" i="2" s="1"/>
  <c r="BS38" i="1"/>
  <c r="E280" i="2" s="1"/>
  <c r="BR38" i="1"/>
  <c r="D280" i="2" s="1"/>
  <c r="BQ38" i="1"/>
  <c r="C280" i="2" s="1"/>
  <c r="BV37" i="1"/>
  <c r="H279" i="2" s="1"/>
  <c r="BU37" i="1"/>
  <c r="G279" i="2" s="1"/>
  <c r="BT37" i="1"/>
  <c r="F279" i="2" s="1"/>
  <c r="BS37" i="1"/>
  <c r="E279" i="2" s="1"/>
  <c r="BR37" i="1"/>
  <c r="D279" i="2" s="1"/>
  <c r="BQ37" i="1"/>
  <c r="C279" i="2" s="1"/>
  <c r="BV34" i="1"/>
  <c r="H276" i="2" s="1"/>
  <c r="BU34" i="1"/>
  <c r="G276" i="2" s="1"/>
  <c r="BT34" i="1"/>
  <c r="F276" i="2" s="1"/>
  <c r="BS34" i="1"/>
  <c r="E276" i="2" s="1"/>
  <c r="BR34" i="1"/>
  <c r="D276" i="2" s="1"/>
  <c r="BQ34" i="1"/>
  <c r="C276" i="2" s="1"/>
  <c r="BV33" i="1"/>
  <c r="H275" i="2" s="1"/>
  <c r="BU33" i="1"/>
  <c r="G275" i="2" s="1"/>
  <c r="BT33" i="1"/>
  <c r="F275" i="2" s="1"/>
  <c r="BS33" i="1"/>
  <c r="E275" i="2" s="1"/>
  <c r="BR33" i="1"/>
  <c r="D275" i="2" s="1"/>
  <c r="BQ33" i="1"/>
  <c r="C275" i="2" s="1"/>
  <c r="BV32" i="1"/>
  <c r="H274" i="2" s="1"/>
  <c r="BU32" i="1"/>
  <c r="G274" i="2" s="1"/>
  <c r="BT32" i="1"/>
  <c r="F274" i="2" s="1"/>
  <c r="BS32" i="1"/>
  <c r="E274" i="2" s="1"/>
  <c r="BR32" i="1"/>
  <c r="D274" i="2" s="1"/>
  <c r="BQ32" i="1"/>
  <c r="C274" i="2" s="1"/>
  <c r="BV31" i="1"/>
  <c r="H273" i="2" s="1"/>
  <c r="BU31" i="1"/>
  <c r="G273" i="2" s="1"/>
  <c r="BT31" i="1"/>
  <c r="F273" i="2" s="1"/>
  <c r="BS31" i="1"/>
  <c r="E273" i="2" s="1"/>
  <c r="BR31" i="1"/>
  <c r="D273" i="2" s="1"/>
  <c r="BQ31" i="1"/>
  <c r="C273" i="2" s="1"/>
  <c r="BV30" i="1"/>
  <c r="H272" i="2" s="1"/>
  <c r="BU30" i="1"/>
  <c r="G272" i="2" s="1"/>
  <c r="BT30" i="1"/>
  <c r="F272" i="2" s="1"/>
  <c r="BS30" i="1"/>
  <c r="E272" i="2" s="1"/>
  <c r="BR30" i="1"/>
  <c r="D272" i="2" s="1"/>
  <c r="BQ30" i="1"/>
  <c r="C272" i="2" s="1"/>
  <c r="BV29" i="1"/>
  <c r="H271" i="2" s="1"/>
  <c r="BU29" i="1"/>
  <c r="G271" i="2" s="1"/>
  <c r="BT29" i="1"/>
  <c r="F271" i="2" s="1"/>
  <c r="BS29" i="1"/>
  <c r="E271" i="2" s="1"/>
  <c r="BR29" i="1"/>
  <c r="D271" i="2" s="1"/>
  <c r="BQ29" i="1"/>
  <c r="C271" i="2" s="1"/>
  <c r="BV26" i="1"/>
  <c r="H268" i="2" s="1"/>
  <c r="BU26" i="1"/>
  <c r="G268" i="2" s="1"/>
  <c r="BT26" i="1"/>
  <c r="F268" i="2" s="1"/>
  <c r="BS26" i="1"/>
  <c r="E268" i="2" s="1"/>
  <c r="BR26" i="1"/>
  <c r="D268" i="2" s="1"/>
  <c r="BQ26" i="1"/>
  <c r="C268" i="2" s="1"/>
  <c r="BV25" i="1"/>
  <c r="H267" i="2" s="1"/>
  <c r="BU25" i="1"/>
  <c r="G267" i="2" s="1"/>
  <c r="BT25" i="1"/>
  <c r="F267" i="2" s="1"/>
  <c r="BS25" i="1"/>
  <c r="E267" i="2" s="1"/>
  <c r="BR25" i="1"/>
  <c r="D267" i="2" s="1"/>
  <c r="BQ25" i="1"/>
  <c r="C267" i="2" s="1"/>
  <c r="BV24" i="1"/>
  <c r="H266" i="2" s="1"/>
  <c r="BU24" i="1"/>
  <c r="G266" i="2" s="1"/>
  <c r="BT24" i="1"/>
  <c r="F266" i="2" s="1"/>
  <c r="BS24" i="1"/>
  <c r="E266" i="2" s="1"/>
  <c r="BR24" i="1"/>
  <c r="D266" i="2" s="1"/>
  <c r="BQ24" i="1"/>
  <c r="C266" i="2" s="1"/>
  <c r="BV23" i="1"/>
  <c r="H265" i="2" s="1"/>
  <c r="BU23" i="1"/>
  <c r="G265" i="2" s="1"/>
  <c r="BT23" i="1"/>
  <c r="F265" i="2" s="1"/>
  <c r="BS23" i="1"/>
  <c r="E265" i="2" s="1"/>
  <c r="BR23" i="1"/>
  <c r="D265" i="2" s="1"/>
  <c r="BQ23" i="1"/>
  <c r="C265" i="2" s="1"/>
  <c r="BV22" i="1"/>
  <c r="H264" i="2" s="1"/>
  <c r="BU22" i="1"/>
  <c r="G264" i="2" s="1"/>
  <c r="BT22" i="1"/>
  <c r="F264" i="2" s="1"/>
  <c r="BS22" i="1"/>
  <c r="E264" i="2" s="1"/>
  <c r="BR22" i="1"/>
  <c r="D264" i="2" s="1"/>
  <c r="BQ22" i="1"/>
  <c r="C264" i="2" s="1"/>
  <c r="BV21" i="1"/>
  <c r="H263" i="2" s="1"/>
  <c r="BU21" i="1"/>
  <c r="G263" i="2" s="1"/>
  <c r="BT21" i="1"/>
  <c r="F263" i="2" s="1"/>
  <c r="BS21" i="1"/>
  <c r="E263" i="2" s="1"/>
  <c r="BR21" i="1"/>
  <c r="D263" i="2" s="1"/>
  <c r="BQ21" i="1"/>
  <c r="C263" i="2" s="1"/>
  <c r="BV18" i="1"/>
  <c r="H260" i="2" s="1"/>
  <c r="BU18" i="1"/>
  <c r="G260" i="2" s="1"/>
  <c r="BT18" i="1"/>
  <c r="F260" i="2" s="1"/>
  <c r="BS18" i="1"/>
  <c r="E260" i="2" s="1"/>
  <c r="BR18" i="1"/>
  <c r="D260" i="2" s="1"/>
  <c r="BQ18" i="1"/>
  <c r="C260" i="2" s="1"/>
  <c r="BV17" i="1"/>
  <c r="H259" i="2" s="1"/>
  <c r="BU17" i="1"/>
  <c r="G259" i="2" s="1"/>
  <c r="BT17" i="1"/>
  <c r="F259" i="2" s="1"/>
  <c r="BS17" i="1"/>
  <c r="E259" i="2" s="1"/>
  <c r="BR17" i="1"/>
  <c r="D259" i="2" s="1"/>
  <c r="BQ17" i="1"/>
  <c r="C259" i="2" s="1"/>
  <c r="BV16" i="1"/>
  <c r="H258" i="2" s="1"/>
  <c r="BU16" i="1"/>
  <c r="G258" i="2" s="1"/>
  <c r="BT16" i="1"/>
  <c r="F258" i="2" s="1"/>
  <c r="BS16" i="1"/>
  <c r="E258" i="2" s="1"/>
  <c r="BR16" i="1"/>
  <c r="D258" i="2" s="1"/>
  <c r="BQ16" i="1"/>
  <c r="C258" i="2" s="1"/>
  <c r="BV15" i="1"/>
  <c r="H257" i="2" s="1"/>
  <c r="BU15" i="1"/>
  <c r="G257" i="2" s="1"/>
  <c r="BT15" i="1"/>
  <c r="F257" i="2" s="1"/>
  <c r="BS15" i="1"/>
  <c r="E257" i="2" s="1"/>
  <c r="BR15" i="1"/>
  <c r="D257" i="2" s="1"/>
  <c r="BQ15" i="1"/>
  <c r="C257" i="2" s="1"/>
  <c r="BV14" i="1"/>
  <c r="H256" i="2" s="1"/>
  <c r="BU14" i="1"/>
  <c r="G256" i="2" s="1"/>
  <c r="BT14" i="1"/>
  <c r="F256" i="2" s="1"/>
  <c r="BS14" i="1"/>
  <c r="E256" i="2" s="1"/>
  <c r="BR14" i="1"/>
  <c r="D256" i="2" s="1"/>
  <c r="BQ14" i="1"/>
  <c r="C256" i="2" s="1"/>
  <c r="BV13" i="1"/>
  <c r="H255" i="2" s="1"/>
  <c r="BU13" i="1"/>
  <c r="G255" i="2" s="1"/>
  <c r="BT13" i="1"/>
  <c r="F255" i="2" s="1"/>
  <c r="BS13" i="1"/>
  <c r="E255" i="2" s="1"/>
  <c r="BR13" i="1"/>
  <c r="D255" i="2" s="1"/>
  <c r="BQ13" i="1"/>
  <c r="C255" i="2" s="1"/>
  <c r="E101" i="5" l="1"/>
  <c r="D101" i="5"/>
  <c r="C101" i="5"/>
  <c r="B101" i="5"/>
  <c r="E100" i="5"/>
  <c r="D100" i="5"/>
  <c r="C100" i="5"/>
  <c r="B100" i="5"/>
  <c r="E99" i="5"/>
  <c r="D99" i="5"/>
  <c r="C99" i="5"/>
  <c r="B99" i="5"/>
  <c r="E98" i="5"/>
  <c r="D98" i="5"/>
  <c r="C98" i="5"/>
  <c r="B98" i="5"/>
  <c r="E97" i="5"/>
  <c r="D97" i="5"/>
  <c r="C97" i="5"/>
  <c r="B97" i="5"/>
  <c r="E96" i="5"/>
  <c r="D96" i="5"/>
  <c r="C96" i="5"/>
  <c r="B96" i="5"/>
  <c r="G91" i="5"/>
  <c r="F91" i="5"/>
  <c r="E91" i="5"/>
  <c r="D91" i="5"/>
  <c r="C91" i="5"/>
  <c r="B91" i="5"/>
  <c r="G90" i="5"/>
  <c r="F90" i="5"/>
  <c r="E90" i="5"/>
  <c r="D90" i="5"/>
  <c r="C90" i="5"/>
  <c r="B90" i="5"/>
  <c r="G89" i="5"/>
  <c r="F89" i="5"/>
  <c r="E89" i="5"/>
  <c r="D89" i="5"/>
  <c r="C89" i="5"/>
  <c r="B89" i="5"/>
  <c r="G88" i="5"/>
  <c r="F88" i="5"/>
  <c r="E88" i="5"/>
  <c r="D88" i="5"/>
  <c r="C88" i="5"/>
  <c r="B88" i="5"/>
  <c r="G87" i="5"/>
  <c r="F87" i="5"/>
  <c r="E87" i="5"/>
  <c r="D87" i="5"/>
  <c r="C87" i="5"/>
  <c r="B87" i="5"/>
  <c r="G86" i="5"/>
  <c r="F86" i="5"/>
  <c r="E86" i="5"/>
  <c r="D86" i="5"/>
  <c r="C86" i="5"/>
  <c r="B86" i="5"/>
  <c r="G83" i="5"/>
  <c r="F83" i="5"/>
  <c r="E83" i="5"/>
  <c r="D83" i="5"/>
  <c r="C83" i="5"/>
  <c r="B83" i="5"/>
  <c r="G82" i="5"/>
  <c r="F82" i="5"/>
  <c r="E82" i="5"/>
  <c r="D82" i="5"/>
  <c r="C82" i="5"/>
  <c r="B82" i="5"/>
  <c r="G81" i="5"/>
  <c r="F81" i="5"/>
  <c r="E81" i="5"/>
  <c r="D81" i="5"/>
  <c r="C81" i="5"/>
  <c r="B81" i="5"/>
  <c r="G80" i="5"/>
  <c r="F80" i="5"/>
  <c r="E80" i="5"/>
  <c r="D80" i="5"/>
  <c r="C80" i="5"/>
  <c r="B80" i="5"/>
  <c r="G79" i="5"/>
  <c r="F79" i="5"/>
  <c r="E79" i="5"/>
  <c r="D79" i="5"/>
  <c r="C79" i="5"/>
  <c r="B79" i="5"/>
  <c r="G78" i="5"/>
  <c r="F78" i="5"/>
  <c r="E78" i="5"/>
  <c r="D78" i="5"/>
  <c r="C78" i="5"/>
  <c r="B78" i="5"/>
  <c r="G73" i="5"/>
  <c r="F73" i="5"/>
  <c r="E73" i="5"/>
  <c r="D73" i="5"/>
  <c r="C73" i="5"/>
  <c r="B73" i="5"/>
  <c r="G72" i="5"/>
  <c r="F72" i="5"/>
  <c r="E72" i="5"/>
  <c r="D72" i="5"/>
  <c r="C72" i="5"/>
  <c r="B72" i="5"/>
  <c r="G71" i="5"/>
  <c r="F71" i="5"/>
  <c r="E71" i="5"/>
  <c r="D71" i="5"/>
  <c r="C71" i="5"/>
  <c r="B71" i="5"/>
  <c r="G70" i="5"/>
  <c r="F70" i="5"/>
  <c r="E70" i="5"/>
  <c r="D70" i="5"/>
  <c r="C70" i="5"/>
  <c r="B70" i="5"/>
  <c r="G69" i="5"/>
  <c r="F69" i="5"/>
  <c r="E69" i="5"/>
  <c r="D69" i="5"/>
  <c r="C69" i="5"/>
  <c r="B69" i="5"/>
  <c r="G68" i="5"/>
  <c r="F68" i="5"/>
  <c r="E68" i="5"/>
  <c r="D68" i="5"/>
  <c r="C68" i="5"/>
  <c r="B68" i="5"/>
  <c r="G65" i="5"/>
  <c r="F65" i="5"/>
  <c r="E65" i="5"/>
  <c r="D65" i="5"/>
  <c r="C65" i="5"/>
  <c r="B65" i="5"/>
  <c r="G64" i="5"/>
  <c r="F64" i="5"/>
  <c r="E64" i="5"/>
  <c r="D64" i="5"/>
  <c r="C64" i="5"/>
  <c r="B64" i="5"/>
  <c r="G63" i="5"/>
  <c r="F63" i="5"/>
  <c r="E63" i="5"/>
  <c r="D63" i="5"/>
  <c r="C63" i="5"/>
  <c r="B63" i="5"/>
  <c r="G62" i="5"/>
  <c r="F62" i="5"/>
  <c r="E62" i="5"/>
  <c r="D62" i="5"/>
  <c r="C62" i="5"/>
  <c r="B62" i="5"/>
  <c r="G61" i="5"/>
  <c r="F61" i="5"/>
  <c r="E61" i="5"/>
  <c r="D61" i="5"/>
  <c r="C61" i="5"/>
  <c r="B61" i="5"/>
  <c r="G60" i="5"/>
  <c r="F60" i="5"/>
  <c r="E60" i="5"/>
  <c r="D60" i="5"/>
  <c r="C60" i="5"/>
  <c r="B60" i="5"/>
  <c r="G55" i="5"/>
  <c r="F55" i="5"/>
  <c r="E55" i="5"/>
  <c r="D55" i="5"/>
  <c r="C55" i="5"/>
  <c r="B55" i="5"/>
  <c r="G54" i="5"/>
  <c r="F54" i="5"/>
  <c r="E54" i="5"/>
  <c r="D54" i="5"/>
  <c r="C54" i="5"/>
  <c r="B54" i="5"/>
  <c r="G53" i="5"/>
  <c r="F53" i="5"/>
  <c r="E53" i="5"/>
  <c r="D53" i="5"/>
  <c r="C53" i="5"/>
  <c r="B53" i="5"/>
  <c r="G52" i="5"/>
  <c r="F52" i="5"/>
  <c r="E52" i="5"/>
  <c r="D52" i="5"/>
  <c r="C52" i="5"/>
  <c r="B52" i="5"/>
  <c r="G51" i="5"/>
  <c r="F51" i="5"/>
  <c r="E51" i="5"/>
  <c r="D51" i="5"/>
  <c r="C51" i="5"/>
  <c r="B51" i="5"/>
  <c r="G50" i="5"/>
  <c r="F50" i="5"/>
  <c r="E50" i="5"/>
  <c r="D50" i="5"/>
  <c r="C50" i="5"/>
  <c r="B50" i="5"/>
  <c r="G47" i="5"/>
  <c r="F47" i="5"/>
  <c r="E47" i="5"/>
  <c r="D47" i="5"/>
  <c r="C47" i="5"/>
  <c r="B47" i="5"/>
  <c r="G46" i="5"/>
  <c r="F46" i="5"/>
  <c r="E46" i="5"/>
  <c r="D46" i="5"/>
  <c r="C46" i="5"/>
  <c r="B46" i="5"/>
  <c r="G45" i="5"/>
  <c r="F45" i="5"/>
  <c r="E45" i="5"/>
  <c r="D45" i="5"/>
  <c r="C45" i="5"/>
  <c r="B45" i="5"/>
  <c r="G44" i="5"/>
  <c r="F44" i="5"/>
  <c r="E44" i="5"/>
  <c r="D44" i="5"/>
  <c r="C44" i="5"/>
  <c r="B44" i="5"/>
  <c r="G43" i="5"/>
  <c r="F43" i="5"/>
  <c r="E43" i="5"/>
  <c r="D43" i="5"/>
  <c r="C43" i="5"/>
  <c r="B43" i="5"/>
  <c r="G42" i="5"/>
  <c r="F42" i="5"/>
  <c r="E42" i="5"/>
  <c r="D42" i="5"/>
  <c r="C42" i="5"/>
  <c r="B42" i="5"/>
  <c r="C194" i="2"/>
  <c r="C133" i="2"/>
  <c r="C72" i="2"/>
  <c r="C11" i="2"/>
  <c r="P28" i="1"/>
  <c r="AN18" i="1"/>
  <c r="AM18" i="1"/>
  <c r="AL18" i="1"/>
  <c r="AK18" i="1"/>
  <c r="AJ18" i="1"/>
  <c r="AN17" i="1"/>
  <c r="AM17" i="1"/>
  <c r="AL17" i="1"/>
  <c r="AK17" i="1"/>
  <c r="AJ17" i="1"/>
  <c r="AN16" i="1"/>
  <c r="AM16" i="1"/>
  <c r="AL16" i="1"/>
  <c r="AK16" i="1"/>
  <c r="AJ16" i="1"/>
  <c r="AN15" i="1"/>
  <c r="AM15" i="1"/>
  <c r="AL15" i="1"/>
  <c r="AK15" i="1"/>
  <c r="AJ15" i="1"/>
  <c r="AN14" i="1"/>
  <c r="AM14" i="1"/>
  <c r="AL14" i="1"/>
  <c r="AK14" i="1"/>
  <c r="AJ14" i="1"/>
  <c r="AN13" i="1"/>
  <c r="AM13" i="1"/>
  <c r="AL13" i="1"/>
  <c r="AK13" i="1"/>
  <c r="AJ13" i="1"/>
  <c r="BJ34" i="1"/>
  <c r="BI34" i="1"/>
  <c r="BH34" i="1"/>
  <c r="BJ33" i="1"/>
  <c r="BI33" i="1"/>
  <c r="BH33" i="1"/>
  <c r="BJ32" i="1"/>
  <c r="BI32" i="1"/>
  <c r="BH32" i="1"/>
  <c r="BJ31" i="1"/>
  <c r="BI31" i="1"/>
  <c r="BH31" i="1"/>
  <c r="BJ30" i="1"/>
  <c r="BI30" i="1"/>
  <c r="BH30" i="1"/>
  <c r="BJ29" i="1"/>
  <c r="BI29" i="1"/>
  <c r="BH29" i="1"/>
  <c r="BG34" i="1"/>
  <c r="BG33" i="1"/>
  <c r="BG32" i="1"/>
  <c r="BG31" i="1"/>
  <c r="BG30" i="1"/>
  <c r="BG29" i="1"/>
  <c r="BL26" i="1"/>
  <c r="BK26" i="1"/>
  <c r="BJ26" i="1"/>
  <c r="BI26" i="1"/>
  <c r="BH26" i="1"/>
  <c r="BL25" i="1"/>
  <c r="BK25" i="1"/>
  <c r="BJ25" i="1"/>
  <c r="BI25" i="1"/>
  <c r="BH25" i="1"/>
  <c r="BL24" i="1"/>
  <c r="BK24" i="1"/>
  <c r="BJ24" i="1"/>
  <c r="BI24" i="1"/>
  <c r="BH24" i="1"/>
  <c r="BL23" i="1"/>
  <c r="BK23" i="1"/>
  <c r="BJ23" i="1"/>
  <c r="BI23" i="1"/>
  <c r="BH23" i="1"/>
  <c r="BL22" i="1"/>
  <c r="BK22" i="1"/>
  <c r="BJ22" i="1"/>
  <c r="BI22" i="1"/>
  <c r="BH22" i="1"/>
  <c r="BL21" i="1"/>
  <c r="BK21" i="1"/>
  <c r="BJ21" i="1"/>
  <c r="BI21" i="1"/>
  <c r="BH21" i="1"/>
  <c r="BG26" i="1"/>
  <c r="BG25" i="1"/>
  <c r="BG24" i="1"/>
  <c r="BG23" i="1"/>
  <c r="BG22" i="1"/>
  <c r="BG21" i="1"/>
  <c r="BL18" i="1"/>
  <c r="BK18" i="1"/>
  <c r="BJ18" i="1"/>
  <c r="BI18" i="1"/>
  <c r="BH18" i="1"/>
  <c r="BL17" i="1"/>
  <c r="BK17" i="1"/>
  <c r="BJ17" i="1"/>
  <c r="BI17" i="1"/>
  <c r="BH17" i="1"/>
  <c r="BL16" i="1"/>
  <c r="BK16" i="1"/>
  <c r="BJ16" i="1"/>
  <c r="BI16" i="1"/>
  <c r="BH16" i="1"/>
  <c r="BL15" i="1"/>
  <c r="BK15" i="1"/>
  <c r="BJ15" i="1"/>
  <c r="BI15" i="1"/>
  <c r="BH15" i="1"/>
  <c r="BL14" i="1"/>
  <c r="BK14" i="1"/>
  <c r="BJ14" i="1"/>
  <c r="BI14" i="1"/>
  <c r="BH14" i="1"/>
  <c r="BL13" i="1"/>
  <c r="BK13" i="1"/>
  <c r="BJ13" i="1"/>
  <c r="BI13" i="1"/>
  <c r="BH13" i="1"/>
  <c r="BG18" i="1"/>
  <c r="BG17" i="1"/>
  <c r="BG16" i="1"/>
  <c r="BG15" i="1"/>
  <c r="BG14" i="1"/>
  <c r="BG13" i="1"/>
  <c r="BD42" i="1"/>
  <c r="BC42" i="1"/>
  <c r="BB42" i="1"/>
  <c r="BA42" i="1"/>
  <c r="AZ42" i="1"/>
  <c r="BD41" i="1"/>
  <c r="BC41" i="1"/>
  <c r="BB41" i="1"/>
  <c r="BA41" i="1"/>
  <c r="AZ41" i="1"/>
  <c r="BD40" i="1"/>
  <c r="BC40" i="1"/>
  <c r="BB40" i="1"/>
  <c r="BA40" i="1"/>
  <c r="AZ40" i="1"/>
  <c r="BD39" i="1"/>
  <c r="BC39" i="1"/>
  <c r="BB39" i="1"/>
  <c r="BA39" i="1"/>
  <c r="AZ39" i="1"/>
  <c r="BD38" i="1"/>
  <c r="BC38" i="1"/>
  <c r="BB38" i="1"/>
  <c r="BA38" i="1"/>
  <c r="AZ38" i="1"/>
  <c r="BD37" i="1"/>
  <c r="BC37" i="1"/>
  <c r="BB37" i="1"/>
  <c r="BA37" i="1"/>
  <c r="AZ37" i="1"/>
  <c r="AY42" i="1"/>
  <c r="AY41" i="1"/>
  <c r="AY40" i="1"/>
  <c r="AY39" i="1"/>
  <c r="AY38" i="1"/>
  <c r="AY37" i="1"/>
  <c r="BD34" i="1"/>
  <c r="BC34" i="1"/>
  <c r="BB34" i="1"/>
  <c r="BA34" i="1"/>
  <c r="AZ34" i="1"/>
  <c r="BD33" i="1"/>
  <c r="BC33" i="1"/>
  <c r="BB33" i="1"/>
  <c r="BA33" i="1"/>
  <c r="AZ33" i="1"/>
  <c r="BD32" i="1"/>
  <c r="BC32" i="1"/>
  <c r="BB32" i="1"/>
  <c r="BA32" i="1"/>
  <c r="AZ32" i="1"/>
  <c r="BD31" i="1"/>
  <c r="BC31" i="1"/>
  <c r="BB31" i="1"/>
  <c r="BA31" i="1"/>
  <c r="AZ31" i="1"/>
  <c r="BD30" i="1"/>
  <c r="BC30" i="1"/>
  <c r="BB30" i="1"/>
  <c r="BA30" i="1"/>
  <c r="AZ30" i="1"/>
  <c r="BD29" i="1"/>
  <c r="BC29" i="1"/>
  <c r="BB29" i="1"/>
  <c r="BA29" i="1"/>
  <c r="AZ29" i="1"/>
  <c r="AY34" i="1"/>
  <c r="AY33" i="1"/>
  <c r="AY32" i="1"/>
  <c r="AY31" i="1"/>
  <c r="AY30" i="1"/>
  <c r="AY29" i="1"/>
  <c r="BD26" i="1"/>
  <c r="BC26" i="1"/>
  <c r="BB26" i="1"/>
  <c r="BA26" i="1"/>
  <c r="AZ26" i="1"/>
  <c r="BD25" i="1"/>
  <c r="BC25" i="1"/>
  <c r="BB25" i="1"/>
  <c r="BA25" i="1"/>
  <c r="AZ25" i="1"/>
  <c r="BD24" i="1"/>
  <c r="BC24" i="1"/>
  <c r="BB24" i="1"/>
  <c r="BA24" i="1"/>
  <c r="AZ24" i="1"/>
  <c r="BD23" i="1"/>
  <c r="BC23" i="1"/>
  <c r="BB23" i="1"/>
  <c r="BA23" i="1"/>
  <c r="AZ23" i="1"/>
  <c r="BD22" i="1"/>
  <c r="BC22" i="1"/>
  <c r="BB22" i="1"/>
  <c r="BA22" i="1"/>
  <c r="AZ22" i="1"/>
  <c r="BD21" i="1"/>
  <c r="BC21" i="1"/>
  <c r="BB21" i="1"/>
  <c r="BA21" i="1"/>
  <c r="AZ21" i="1"/>
  <c r="AY26" i="1"/>
  <c r="AY25" i="1"/>
  <c r="AY24" i="1"/>
  <c r="AY23" i="1"/>
  <c r="AY22" i="1"/>
  <c r="AY21" i="1"/>
  <c r="BD18" i="1"/>
  <c r="BC18" i="1"/>
  <c r="BB18" i="1"/>
  <c r="BA18" i="1"/>
  <c r="AZ18" i="1"/>
  <c r="BD17" i="1"/>
  <c r="BC17" i="1"/>
  <c r="BB17" i="1"/>
  <c r="BA17" i="1"/>
  <c r="AZ17" i="1"/>
  <c r="BD16" i="1"/>
  <c r="BC16" i="1"/>
  <c r="BB16" i="1"/>
  <c r="BA16" i="1"/>
  <c r="AZ16" i="1"/>
  <c r="BD15" i="1"/>
  <c r="BC15" i="1"/>
  <c r="BB15" i="1"/>
  <c r="BA15" i="1"/>
  <c r="AZ15" i="1"/>
  <c r="BD14" i="1"/>
  <c r="BC14" i="1"/>
  <c r="BB14" i="1"/>
  <c r="BA14" i="1"/>
  <c r="AZ14" i="1"/>
  <c r="BD13" i="1"/>
  <c r="BC13" i="1"/>
  <c r="BB13" i="1"/>
  <c r="BA13" i="1"/>
  <c r="AZ13" i="1"/>
  <c r="AY18" i="1"/>
  <c r="AY17" i="1"/>
  <c r="AY16" i="1"/>
  <c r="AY15" i="1"/>
  <c r="AY14" i="1"/>
  <c r="AY13" i="1"/>
  <c r="AT34" i="1"/>
  <c r="AS34" i="1"/>
  <c r="AR34" i="1"/>
  <c r="AT33" i="1"/>
  <c r="AS33" i="1"/>
  <c r="AR33" i="1"/>
  <c r="AT32" i="1"/>
  <c r="AS32" i="1"/>
  <c r="AR32" i="1"/>
  <c r="AT31" i="1"/>
  <c r="AS31" i="1"/>
  <c r="AR31" i="1"/>
  <c r="AT30" i="1"/>
  <c r="AS30" i="1"/>
  <c r="AR30" i="1"/>
  <c r="AT29" i="1"/>
  <c r="AS29" i="1"/>
  <c r="AR29" i="1"/>
  <c r="AV26" i="1"/>
  <c r="AU26" i="1"/>
  <c r="AT26" i="1"/>
  <c r="AS26" i="1"/>
  <c r="AR26" i="1"/>
  <c r="AV25" i="1"/>
  <c r="AU25" i="1"/>
  <c r="AT25" i="1"/>
  <c r="AS25" i="1"/>
  <c r="AR25" i="1"/>
  <c r="AV24" i="1"/>
  <c r="AU24" i="1"/>
  <c r="AT24" i="1"/>
  <c r="AS24" i="1"/>
  <c r="AR24" i="1"/>
  <c r="AV23" i="1"/>
  <c r="AU23" i="1"/>
  <c r="AT23" i="1"/>
  <c r="AS23" i="1"/>
  <c r="AR23" i="1"/>
  <c r="AV22" i="1"/>
  <c r="AU22" i="1"/>
  <c r="AT22" i="1"/>
  <c r="AS22" i="1"/>
  <c r="AR22" i="1"/>
  <c r="AV21" i="1"/>
  <c r="AU21" i="1"/>
  <c r="AT21" i="1"/>
  <c r="AS21" i="1"/>
  <c r="AR21" i="1"/>
  <c r="AQ34" i="1"/>
  <c r="AQ33" i="1"/>
  <c r="AQ32" i="1"/>
  <c r="AQ31" i="1"/>
  <c r="AQ30" i="1"/>
  <c r="AQ29" i="1"/>
  <c r="AQ26" i="1"/>
  <c r="AQ25" i="1"/>
  <c r="AQ24" i="1"/>
  <c r="AQ23" i="1"/>
  <c r="AQ22" i="1"/>
  <c r="AQ21" i="1"/>
  <c r="AV18" i="1"/>
  <c r="AU18" i="1"/>
  <c r="AT18" i="1"/>
  <c r="AS18" i="1"/>
  <c r="AR18" i="1"/>
  <c r="AV17" i="1"/>
  <c r="AU17" i="1"/>
  <c r="AT17" i="1"/>
  <c r="AS17" i="1"/>
  <c r="AR17" i="1"/>
  <c r="AV16" i="1"/>
  <c r="AU16" i="1"/>
  <c r="AT16" i="1"/>
  <c r="AS16" i="1"/>
  <c r="AR16" i="1"/>
  <c r="AV15" i="1"/>
  <c r="AU15" i="1"/>
  <c r="AT15" i="1"/>
  <c r="AS15" i="1"/>
  <c r="AR15" i="1"/>
  <c r="AV14" i="1"/>
  <c r="AU14" i="1"/>
  <c r="AT14" i="1"/>
  <c r="AS14" i="1"/>
  <c r="AR14" i="1"/>
  <c r="AV13" i="1"/>
  <c r="AU13" i="1"/>
  <c r="AT13" i="1"/>
  <c r="AS13" i="1"/>
  <c r="AR13" i="1"/>
  <c r="AQ14" i="1"/>
  <c r="AQ18" i="1"/>
  <c r="AQ17" i="1"/>
  <c r="AQ16" i="1"/>
  <c r="AQ15" i="1"/>
  <c r="AQ13" i="1"/>
  <c r="AN42" i="1"/>
  <c r="AM42" i="1"/>
  <c r="AL42" i="1"/>
  <c r="AK42" i="1"/>
  <c r="AJ42" i="1"/>
  <c r="AN41" i="1"/>
  <c r="AM41" i="1"/>
  <c r="AL41" i="1"/>
  <c r="AK41" i="1"/>
  <c r="AJ41" i="1"/>
  <c r="AN40" i="1"/>
  <c r="AM40" i="1"/>
  <c r="AL40" i="1"/>
  <c r="AK40" i="1"/>
  <c r="AJ40" i="1"/>
  <c r="AN39" i="1"/>
  <c r="AM39" i="1"/>
  <c r="AL39" i="1"/>
  <c r="AK39" i="1"/>
  <c r="AJ39" i="1"/>
  <c r="AN38" i="1"/>
  <c r="AM38" i="1"/>
  <c r="AL38" i="1"/>
  <c r="AK38" i="1"/>
  <c r="AJ38" i="1"/>
  <c r="AN37" i="1"/>
  <c r="AM37" i="1"/>
  <c r="AL37" i="1"/>
  <c r="AK37" i="1"/>
  <c r="AJ37" i="1"/>
  <c r="AI42" i="1"/>
  <c r="AI41" i="1"/>
  <c r="AI40" i="1"/>
  <c r="AI39" i="1"/>
  <c r="AI38" i="1"/>
  <c r="AI37" i="1"/>
  <c r="AN34" i="1"/>
  <c r="AM34" i="1"/>
  <c r="AL34" i="1"/>
  <c r="AK34" i="1"/>
  <c r="AJ34" i="1"/>
  <c r="AN33" i="1"/>
  <c r="AM33" i="1"/>
  <c r="AL33" i="1"/>
  <c r="AK33" i="1"/>
  <c r="AJ33" i="1"/>
  <c r="AN32" i="1"/>
  <c r="AM32" i="1"/>
  <c r="AL32" i="1"/>
  <c r="AK32" i="1"/>
  <c r="AJ32" i="1"/>
  <c r="AN31" i="1"/>
  <c r="AM31" i="1"/>
  <c r="AL31" i="1"/>
  <c r="AK31" i="1"/>
  <c r="AJ31" i="1"/>
  <c r="AN30" i="1"/>
  <c r="AM30" i="1"/>
  <c r="AL30" i="1"/>
  <c r="AK30" i="1"/>
  <c r="AJ30" i="1"/>
  <c r="AN29" i="1"/>
  <c r="AM29" i="1"/>
  <c r="AL29" i="1"/>
  <c r="AK29" i="1"/>
  <c r="AJ29" i="1"/>
  <c r="AI34" i="1"/>
  <c r="AI33" i="1"/>
  <c r="AI32" i="1"/>
  <c r="AI31" i="1"/>
  <c r="AI30" i="1"/>
  <c r="AI29" i="1"/>
  <c r="AN26" i="1"/>
  <c r="AM26" i="1"/>
  <c r="AL26" i="1"/>
  <c r="AK26" i="1"/>
  <c r="AJ26" i="1"/>
  <c r="AN25" i="1"/>
  <c r="AM25" i="1"/>
  <c r="AL25" i="1"/>
  <c r="AK25" i="1"/>
  <c r="AJ25" i="1"/>
  <c r="AN24" i="1"/>
  <c r="AM24" i="1"/>
  <c r="AL24" i="1"/>
  <c r="AK24" i="1"/>
  <c r="AJ24" i="1"/>
  <c r="AN23" i="1"/>
  <c r="AM23" i="1"/>
  <c r="AL23" i="1"/>
  <c r="AK23" i="1"/>
  <c r="AJ23" i="1"/>
  <c r="AN22" i="1"/>
  <c r="AM22" i="1"/>
  <c r="AL22" i="1"/>
  <c r="AK22" i="1"/>
  <c r="AJ22" i="1"/>
  <c r="AN21" i="1"/>
  <c r="AM21" i="1"/>
  <c r="AL21" i="1"/>
  <c r="AK21" i="1"/>
  <c r="AJ21" i="1"/>
  <c r="AI26" i="1"/>
  <c r="AI25" i="1"/>
  <c r="AI24" i="1"/>
  <c r="AI23" i="1"/>
  <c r="AI22" i="1"/>
  <c r="AI21" i="1"/>
  <c r="AI13" i="1"/>
  <c r="AI18" i="1"/>
  <c r="AI17" i="1"/>
  <c r="AI16" i="1"/>
  <c r="AI15" i="1"/>
  <c r="AI14" i="1"/>
  <c r="L212" i="2"/>
  <c r="B212" i="2"/>
  <c r="N212" i="2" s="1"/>
  <c r="B211" i="2"/>
  <c r="N211" i="2" s="1"/>
  <c r="B210" i="2"/>
  <c r="N210" i="2" s="1"/>
  <c r="B209" i="2"/>
  <c r="N209" i="2" s="1"/>
  <c r="B208" i="2"/>
  <c r="M208" i="2" s="1"/>
  <c r="B207" i="2"/>
  <c r="N207" i="2" s="1"/>
  <c r="F206" i="2"/>
  <c r="E206" i="2"/>
  <c r="D206" i="2"/>
  <c r="C206" i="2"/>
  <c r="H242" i="2"/>
  <c r="G242" i="2"/>
  <c r="F242" i="2"/>
  <c r="D242" i="2"/>
  <c r="B242" i="2"/>
  <c r="H241" i="2"/>
  <c r="G241" i="2"/>
  <c r="F241" i="2"/>
  <c r="D241" i="2"/>
  <c r="B241" i="2"/>
  <c r="H240" i="2"/>
  <c r="G240" i="2"/>
  <c r="F240" i="2"/>
  <c r="D240" i="2"/>
  <c r="B240" i="2"/>
  <c r="C234" i="2"/>
  <c r="B229" i="2"/>
  <c r="I220" i="2"/>
  <c r="I219" i="2"/>
  <c r="I218" i="2"/>
  <c r="I217" i="2"/>
  <c r="I216" i="2"/>
  <c r="I215" i="2"/>
  <c r="F205" i="2"/>
  <c r="E205" i="2"/>
  <c r="D205" i="2"/>
  <c r="C205" i="2"/>
  <c r="H202" i="2"/>
  <c r="C202" i="2"/>
  <c r="H201" i="2"/>
  <c r="C201" i="2"/>
  <c r="H200" i="2"/>
  <c r="C200" i="2"/>
  <c r="C198" i="2"/>
  <c r="H198" i="2"/>
  <c r="C197" i="2"/>
  <c r="H197" i="2"/>
  <c r="C196" i="2"/>
  <c r="H196" i="2"/>
  <c r="C195" i="2"/>
  <c r="H195" i="2"/>
  <c r="H194" i="2"/>
  <c r="C192" i="2"/>
  <c r="C191" i="2"/>
  <c r="B159" i="2"/>
  <c r="N159" i="2" s="1"/>
  <c r="B158" i="2"/>
  <c r="N158" i="2" s="1"/>
  <c r="B157" i="2"/>
  <c r="N157" i="2" s="1"/>
  <c r="B156" i="2"/>
  <c r="M156" i="2" s="1"/>
  <c r="B155" i="2"/>
  <c r="N155" i="2" s="1"/>
  <c r="B154" i="2"/>
  <c r="N154" i="2" s="1"/>
  <c r="H153" i="2"/>
  <c r="G153" i="2"/>
  <c r="F153" i="2"/>
  <c r="E153" i="2"/>
  <c r="D153" i="2"/>
  <c r="C153" i="2"/>
  <c r="B151" i="2"/>
  <c r="N151" i="2" s="1"/>
  <c r="B150" i="2"/>
  <c r="M150" i="2" s="1"/>
  <c r="B149" i="2"/>
  <c r="N149" i="2" s="1"/>
  <c r="B148" i="2"/>
  <c r="N148" i="2" s="1"/>
  <c r="B147" i="2"/>
  <c r="M147" i="2" s="1"/>
  <c r="B146" i="2"/>
  <c r="M146" i="2" s="1"/>
  <c r="H145" i="2"/>
  <c r="G145" i="2"/>
  <c r="F145" i="2"/>
  <c r="E145" i="2"/>
  <c r="D145" i="2"/>
  <c r="C145" i="2"/>
  <c r="H144" i="2"/>
  <c r="G144" i="2"/>
  <c r="F144" i="2"/>
  <c r="E144" i="2"/>
  <c r="D144" i="2"/>
  <c r="C144" i="2"/>
  <c r="H181" i="2"/>
  <c r="G181" i="2"/>
  <c r="F181" i="2"/>
  <c r="D181" i="2"/>
  <c r="B181" i="2"/>
  <c r="H180" i="2"/>
  <c r="G180" i="2"/>
  <c r="F180" i="2"/>
  <c r="D180" i="2"/>
  <c r="B180" i="2"/>
  <c r="H179" i="2"/>
  <c r="G179" i="2"/>
  <c r="F179" i="2"/>
  <c r="D179" i="2"/>
  <c r="B179" i="2"/>
  <c r="C173" i="2"/>
  <c r="B168" i="2"/>
  <c r="H141" i="2"/>
  <c r="C141" i="2"/>
  <c r="H140" i="2"/>
  <c r="C140" i="2"/>
  <c r="H139" i="2"/>
  <c r="C139" i="2"/>
  <c r="C137" i="2"/>
  <c r="H137" i="2"/>
  <c r="C136" i="2"/>
  <c r="H136" i="2"/>
  <c r="C135" i="2"/>
  <c r="H135" i="2"/>
  <c r="C134" i="2"/>
  <c r="H134" i="2"/>
  <c r="H133" i="2"/>
  <c r="C131" i="2"/>
  <c r="C130" i="2"/>
  <c r="D118" i="2"/>
  <c r="D57" i="2"/>
  <c r="B98" i="2"/>
  <c r="N98" i="2" s="1"/>
  <c r="B97" i="2"/>
  <c r="N97" i="2" s="1"/>
  <c r="B96" i="2"/>
  <c r="M96" i="2" s="1"/>
  <c r="B95" i="2"/>
  <c r="N95" i="2" s="1"/>
  <c r="B94" i="2"/>
  <c r="N94" i="2" s="1"/>
  <c r="B93" i="2"/>
  <c r="N93" i="2" s="1"/>
  <c r="H92" i="2"/>
  <c r="G92" i="2"/>
  <c r="F92" i="2"/>
  <c r="E92" i="2"/>
  <c r="D92" i="2"/>
  <c r="C92" i="2"/>
  <c r="B92" i="2"/>
  <c r="B90" i="2"/>
  <c r="L90" i="2" s="1"/>
  <c r="B89" i="2"/>
  <c r="N89" i="2" s="1"/>
  <c r="B88" i="2"/>
  <c r="N88" i="2" s="1"/>
  <c r="B87" i="2"/>
  <c r="N87" i="2" s="1"/>
  <c r="B86" i="2"/>
  <c r="N86" i="2" s="1"/>
  <c r="B85" i="2"/>
  <c r="N85" i="2" s="1"/>
  <c r="H84" i="2"/>
  <c r="G84" i="2"/>
  <c r="F84" i="2"/>
  <c r="E84" i="2"/>
  <c r="D84" i="2"/>
  <c r="C84" i="2"/>
  <c r="C22" i="2"/>
  <c r="C83" i="2"/>
  <c r="H83" i="2"/>
  <c r="G83" i="2"/>
  <c r="F83" i="2"/>
  <c r="E83" i="2"/>
  <c r="D83" i="2"/>
  <c r="H22" i="2"/>
  <c r="G22" i="2"/>
  <c r="F22" i="2"/>
  <c r="F23" i="2"/>
  <c r="E22" i="2"/>
  <c r="D22" i="2"/>
  <c r="H120" i="2"/>
  <c r="G120" i="2"/>
  <c r="F120" i="2"/>
  <c r="D120" i="2"/>
  <c r="B120" i="2"/>
  <c r="H119" i="2"/>
  <c r="G119" i="2"/>
  <c r="F119" i="2"/>
  <c r="D119" i="2"/>
  <c r="B119" i="2"/>
  <c r="H118" i="2"/>
  <c r="G118" i="2"/>
  <c r="F118" i="2"/>
  <c r="B118" i="2"/>
  <c r="C112" i="2"/>
  <c r="B107" i="2"/>
  <c r="H80" i="2"/>
  <c r="C80" i="2"/>
  <c r="H79" i="2"/>
  <c r="C79" i="2"/>
  <c r="H78" i="2"/>
  <c r="C78" i="2"/>
  <c r="C76" i="2"/>
  <c r="H76" i="2"/>
  <c r="C75" i="2"/>
  <c r="H75" i="2"/>
  <c r="C74" i="2"/>
  <c r="H74" i="2"/>
  <c r="C73" i="2"/>
  <c r="H73" i="2"/>
  <c r="H72" i="2"/>
  <c r="C70" i="2"/>
  <c r="C69" i="2"/>
  <c r="H19" i="2"/>
  <c r="H18" i="2"/>
  <c r="H17" i="2"/>
  <c r="C19" i="2"/>
  <c r="C18" i="2"/>
  <c r="C17" i="2"/>
  <c r="H15" i="2"/>
  <c r="H14" i="2"/>
  <c r="H13" i="2"/>
  <c r="H12" i="2"/>
  <c r="H11" i="2"/>
  <c r="C15" i="2"/>
  <c r="C14" i="2"/>
  <c r="C13" i="2"/>
  <c r="C12" i="2"/>
  <c r="C9" i="2"/>
  <c r="C8" i="2"/>
  <c r="C51" i="2"/>
  <c r="B46" i="2"/>
  <c r="H59" i="2"/>
  <c r="G59" i="2"/>
  <c r="F59" i="2"/>
  <c r="D59" i="2"/>
  <c r="B59" i="2"/>
  <c r="H58" i="2"/>
  <c r="G58" i="2"/>
  <c r="F58" i="2"/>
  <c r="D58" i="2"/>
  <c r="B58" i="2"/>
  <c r="H57" i="2"/>
  <c r="G57" i="2"/>
  <c r="F57" i="2"/>
  <c r="B57" i="2"/>
  <c r="L209" i="2"/>
  <c r="B37" i="2"/>
  <c r="L37" i="2" s="1"/>
  <c r="B36" i="2"/>
  <c r="N36" i="2" s="1"/>
  <c r="B35" i="2"/>
  <c r="M35" i="2" s="1"/>
  <c r="B34" i="2"/>
  <c r="N34" i="2" s="1"/>
  <c r="B33" i="2"/>
  <c r="M33" i="2" s="1"/>
  <c r="B32" i="2"/>
  <c r="N32" i="2" s="1"/>
  <c r="B29" i="2"/>
  <c r="L29" i="2" s="1"/>
  <c r="B28" i="2"/>
  <c r="N28" i="2" s="1"/>
  <c r="B27" i="2"/>
  <c r="N27" i="2" s="1"/>
  <c r="B26" i="2"/>
  <c r="N26" i="2" s="1"/>
  <c r="B25" i="2"/>
  <c r="M25" i="2" s="1"/>
  <c r="B24" i="2"/>
  <c r="N24" i="2" s="1"/>
  <c r="H23" i="2"/>
  <c r="G23" i="2"/>
  <c r="E23" i="2"/>
  <c r="D23" i="2"/>
  <c r="C23" i="2"/>
  <c r="H31" i="2"/>
  <c r="G31" i="2"/>
  <c r="F31" i="2"/>
  <c r="E31" i="2"/>
  <c r="D31" i="2"/>
  <c r="C31" i="2"/>
  <c r="E106" i="1"/>
  <c r="F212" i="2" s="1"/>
  <c r="D106" i="1"/>
  <c r="E212" i="2" s="1"/>
  <c r="C106" i="1"/>
  <c r="D212" i="2" s="1"/>
  <c r="B106" i="1"/>
  <c r="C212" i="2" s="1"/>
  <c r="E105" i="1"/>
  <c r="F211" i="2" s="1"/>
  <c r="D105" i="1"/>
  <c r="E211" i="2" s="1"/>
  <c r="C105" i="1"/>
  <c r="D211" i="2" s="1"/>
  <c r="B105" i="1"/>
  <c r="C211" i="2" s="1"/>
  <c r="E104" i="1"/>
  <c r="F210" i="2" s="1"/>
  <c r="D104" i="1"/>
  <c r="E210" i="2" s="1"/>
  <c r="C104" i="1"/>
  <c r="D210" i="2" s="1"/>
  <c r="B104" i="1"/>
  <c r="C210" i="2" s="1"/>
  <c r="E103" i="1"/>
  <c r="F209" i="2" s="1"/>
  <c r="D103" i="1"/>
  <c r="E209" i="2" s="1"/>
  <c r="C103" i="1"/>
  <c r="D209" i="2" s="1"/>
  <c r="B103" i="1"/>
  <c r="C209" i="2" s="1"/>
  <c r="E102" i="1"/>
  <c r="F208" i="2" s="1"/>
  <c r="D102" i="1"/>
  <c r="E208" i="2" s="1"/>
  <c r="C102" i="1"/>
  <c r="D208" i="2" s="1"/>
  <c r="B102" i="1"/>
  <c r="C208" i="2" s="1"/>
  <c r="E101" i="1"/>
  <c r="F207" i="2" s="1"/>
  <c r="D101" i="1"/>
  <c r="E207" i="2" s="1"/>
  <c r="C101" i="1"/>
  <c r="D207" i="2" s="1"/>
  <c r="B101" i="1"/>
  <c r="C207" i="2" s="1"/>
  <c r="G96" i="1"/>
  <c r="H159" i="2" s="1"/>
  <c r="F96" i="1"/>
  <c r="G159" i="2" s="1"/>
  <c r="E96" i="1"/>
  <c r="F159" i="2" s="1"/>
  <c r="D96" i="1"/>
  <c r="E159" i="2" s="1"/>
  <c r="C96" i="1"/>
  <c r="D159" i="2" s="1"/>
  <c r="B96" i="1"/>
  <c r="C159" i="2" s="1"/>
  <c r="G95" i="1"/>
  <c r="H158" i="2" s="1"/>
  <c r="F95" i="1"/>
  <c r="G158" i="2" s="1"/>
  <c r="E95" i="1"/>
  <c r="F158" i="2" s="1"/>
  <c r="D95" i="1"/>
  <c r="E158" i="2" s="1"/>
  <c r="C95" i="1"/>
  <c r="D158" i="2" s="1"/>
  <c r="B95" i="1"/>
  <c r="C158" i="2" s="1"/>
  <c r="G94" i="1"/>
  <c r="H157" i="2" s="1"/>
  <c r="F94" i="1"/>
  <c r="G157" i="2" s="1"/>
  <c r="E94" i="1"/>
  <c r="F157" i="2" s="1"/>
  <c r="D94" i="1"/>
  <c r="E157" i="2" s="1"/>
  <c r="C94" i="1"/>
  <c r="D157" i="2" s="1"/>
  <c r="B94" i="1"/>
  <c r="C157" i="2" s="1"/>
  <c r="G93" i="1"/>
  <c r="H156" i="2" s="1"/>
  <c r="F93" i="1"/>
  <c r="G156" i="2" s="1"/>
  <c r="E93" i="1"/>
  <c r="F156" i="2" s="1"/>
  <c r="D93" i="1"/>
  <c r="E156" i="2" s="1"/>
  <c r="C93" i="1"/>
  <c r="D156" i="2" s="1"/>
  <c r="B93" i="1"/>
  <c r="C156" i="2" s="1"/>
  <c r="G92" i="1"/>
  <c r="H155" i="2" s="1"/>
  <c r="F92" i="1"/>
  <c r="G155" i="2" s="1"/>
  <c r="E92" i="1"/>
  <c r="F155" i="2" s="1"/>
  <c r="D92" i="1"/>
  <c r="E155" i="2" s="1"/>
  <c r="C92" i="1"/>
  <c r="D155" i="2" s="1"/>
  <c r="B92" i="1"/>
  <c r="C155" i="2" s="1"/>
  <c r="G91" i="1"/>
  <c r="H154" i="2" s="1"/>
  <c r="F91" i="1"/>
  <c r="G154" i="2" s="1"/>
  <c r="E91" i="1"/>
  <c r="F154" i="2" s="1"/>
  <c r="D91" i="1"/>
  <c r="E154" i="2" s="1"/>
  <c r="C91" i="1"/>
  <c r="D154" i="2" s="1"/>
  <c r="B91" i="1"/>
  <c r="C154" i="2" s="1"/>
  <c r="G88" i="1"/>
  <c r="H151" i="2" s="1"/>
  <c r="F88" i="1"/>
  <c r="G151" i="2" s="1"/>
  <c r="E88" i="1"/>
  <c r="F151" i="2" s="1"/>
  <c r="D88" i="1"/>
  <c r="E151" i="2" s="1"/>
  <c r="C88" i="1"/>
  <c r="D151" i="2" s="1"/>
  <c r="B88" i="1"/>
  <c r="C151" i="2" s="1"/>
  <c r="G87" i="1"/>
  <c r="H150" i="2" s="1"/>
  <c r="F87" i="1"/>
  <c r="G150" i="2" s="1"/>
  <c r="E87" i="1"/>
  <c r="F150" i="2" s="1"/>
  <c r="D87" i="1"/>
  <c r="E150" i="2" s="1"/>
  <c r="C87" i="1"/>
  <c r="D150" i="2" s="1"/>
  <c r="B87" i="1"/>
  <c r="C150" i="2" s="1"/>
  <c r="G86" i="1"/>
  <c r="H149" i="2" s="1"/>
  <c r="F86" i="1"/>
  <c r="G149" i="2" s="1"/>
  <c r="E86" i="1"/>
  <c r="F149" i="2" s="1"/>
  <c r="D86" i="1"/>
  <c r="E149" i="2" s="1"/>
  <c r="C86" i="1"/>
  <c r="D149" i="2" s="1"/>
  <c r="B86" i="1"/>
  <c r="C149" i="2" s="1"/>
  <c r="G85" i="1"/>
  <c r="H148" i="2" s="1"/>
  <c r="F85" i="1"/>
  <c r="G148" i="2" s="1"/>
  <c r="E85" i="1"/>
  <c r="F148" i="2" s="1"/>
  <c r="D85" i="1"/>
  <c r="E148" i="2" s="1"/>
  <c r="C85" i="1"/>
  <c r="D148" i="2" s="1"/>
  <c r="B85" i="1"/>
  <c r="C148" i="2" s="1"/>
  <c r="G84" i="1"/>
  <c r="H147" i="2" s="1"/>
  <c r="F84" i="1"/>
  <c r="G147" i="2" s="1"/>
  <c r="E84" i="1"/>
  <c r="F147" i="2" s="1"/>
  <c r="D84" i="1"/>
  <c r="E147" i="2" s="1"/>
  <c r="C84" i="1"/>
  <c r="D147" i="2" s="1"/>
  <c r="B84" i="1"/>
  <c r="C147" i="2" s="1"/>
  <c r="G83" i="1"/>
  <c r="H146" i="2" s="1"/>
  <c r="F83" i="1"/>
  <c r="G146" i="2" s="1"/>
  <c r="E83" i="1"/>
  <c r="F146" i="2" s="1"/>
  <c r="D83" i="1"/>
  <c r="E146" i="2" s="1"/>
  <c r="C83" i="1"/>
  <c r="D146" i="2" s="1"/>
  <c r="B83" i="1"/>
  <c r="C146" i="2" s="1"/>
  <c r="G78" i="1"/>
  <c r="H98" i="2" s="1"/>
  <c r="F78" i="1"/>
  <c r="G98" i="2" s="1"/>
  <c r="E78" i="1"/>
  <c r="F98" i="2" s="1"/>
  <c r="D78" i="1"/>
  <c r="E98" i="2" s="1"/>
  <c r="C78" i="1"/>
  <c r="D98" i="2" s="1"/>
  <c r="B78" i="1"/>
  <c r="C98" i="2" s="1"/>
  <c r="G77" i="1"/>
  <c r="H97" i="2" s="1"/>
  <c r="F77" i="1"/>
  <c r="G97" i="2" s="1"/>
  <c r="E77" i="1"/>
  <c r="F97" i="2" s="1"/>
  <c r="D77" i="1"/>
  <c r="E97" i="2" s="1"/>
  <c r="C77" i="1"/>
  <c r="D97" i="2" s="1"/>
  <c r="B77" i="1"/>
  <c r="C97" i="2" s="1"/>
  <c r="G76" i="1"/>
  <c r="H96" i="2" s="1"/>
  <c r="F76" i="1"/>
  <c r="G96" i="2" s="1"/>
  <c r="E76" i="1"/>
  <c r="F96" i="2" s="1"/>
  <c r="D76" i="1"/>
  <c r="E96" i="2" s="1"/>
  <c r="C76" i="1"/>
  <c r="D96" i="2" s="1"/>
  <c r="B76" i="1"/>
  <c r="C96" i="2" s="1"/>
  <c r="G75" i="1"/>
  <c r="H95" i="2" s="1"/>
  <c r="F75" i="1"/>
  <c r="G95" i="2" s="1"/>
  <c r="E75" i="1"/>
  <c r="F95" i="2" s="1"/>
  <c r="D75" i="1"/>
  <c r="E95" i="2" s="1"/>
  <c r="C75" i="1"/>
  <c r="D95" i="2" s="1"/>
  <c r="B75" i="1"/>
  <c r="C95" i="2" s="1"/>
  <c r="G74" i="1"/>
  <c r="H94" i="2" s="1"/>
  <c r="F74" i="1"/>
  <c r="G94" i="2" s="1"/>
  <c r="E74" i="1"/>
  <c r="F94" i="2" s="1"/>
  <c r="D74" i="1"/>
  <c r="E94" i="2" s="1"/>
  <c r="C74" i="1"/>
  <c r="D94" i="2" s="1"/>
  <c r="B74" i="1"/>
  <c r="C94" i="2" s="1"/>
  <c r="G73" i="1"/>
  <c r="H93" i="2" s="1"/>
  <c r="F73" i="1"/>
  <c r="G93" i="2" s="1"/>
  <c r="E73" i="1"/>
  <c r="F93" i="2" s="1"/>
  <c r="D73" i="1"/>
  <c r="E93" i="2" s="1"/>
  <c r="C73" i="1"/>
  <c r="D93" i="2" s="1"/>
  <c r="B73" i="1"/>
  <c r="C93" i="2" s="1"/>
  <c r="G70" i="1"/>
  <c r="H90" i="2" s="1"/>
  <c r="F70" i="1"/>
  <c r="G90" i="2" s="1"/>
  <c r="E70" i="1"/>
  <c r="F90" i="2" s="1"/>
  <c r="D70" i="1"/>
  <c r="E90" i="2" s="1"/>
  <c r="C70" i="1"/>
  <c r="D90" i="2" s="1"/>
  <c r="B70" i="1"/>
  <c r="C90" i="2" s="1"/>
  <c r="G69" i="1"/>
  <c r="H89" i="2" s="1"/>
  <c r="F69" i="1"/>
  <c r="G89" i="2" s="1"/>
  <c r="E69" i="1"/>
  <c r="F89" i="2" s="1"/>
  <c r="D69" i="1"/>
  <c r="E89" i="2" s="1"/>
  <c r="C69" i="1"/>
  <c r="D89" i="2" s="1"/>
  <c r="B69" i="1"/>
  <c r="C89" i="2" s="1"/>
  <c r="G68" i="1"/>
  <c r="H88" i="2" s="1"/>
  <c r="F68" i="1"/>
  <c r="G88" i="2" s="1"/>
  <c r="E68" i="1"/>
  <c r="F88" i="2" s="1"/>
  <c r="D68" i="1"/>
  <c r="E88" i="2" s="1"/>
  <c r="C68" i="1"/>
  <c r="D88" i="2" s="1"/>
  <c r="B68" i="1"/>
  <c r="C88" i="2" s="1"/>
  <c r="G67" i="1"/>
  <c r="H87" i="2" s="1"/>
  <c r="F67" i="1"/>
  <c r="G87" i="2" s="1"/>
  <c r="E67" i="1"/>
  <c r="F87" i="2" s="1"/>
  <c r="D67" i="1"/>
  <c r="E87" i="2" s="1"/>
  <c r="C67" i="1"/>
  <c r="D87" i="2" s="1"/>
  <c r="B67" i="1"/>
  <c r="C87" i="2" s="1"/>
  <c r="G66" i="1"/>
  <c r="H86" i="2" s="1"/>
  <c r="F66" i="1"/>
  <c r="G86" i="2" s="1"/>
  <c r="E66" i="1"/>
  <c r="F86" i="2" s="1"/>
  <c r="D66" i="1"/>
  <c r="E86" i="2" s="1"/>
  <c r="C66" i="1"/>
  <c r="D86" i="2" s="1"/>
  <c r="B66" i="1"/>
  <c r="C86" i="2" s="1"/>
  <c r="G65" i="1"/>
  <c r="H85" i="2" s="1"/>
  <c r="F65" i="1"/>
  <c r="G85" i="2" s="1"/>
  <c r="E65" i="1"/>
  <c r="F85" i="2" s="1"/>
  <c r="D65" i="1"/>
  <c r="E85" i="2" s="1"/>
  <c r="C65" i="1"/>
  <c r="D85" i="2" s="1"/>
  <c r="B65" i="1"/>
  <c r="C85" i="2" s="1"/>
  <c r="G60" i="1"/>
  <c r="H37" i="2" s="1"/>
  <c r="F60" i="1"/>
  <c r="G37" i="2" s="1"/>
  <c r="E60" i="1"/>
  <c r="F37" i="2" s="1"/>
  <c r="D60" i="1"/>
  <c r="E37" i="2" s="1"/>
  <c r="C60" i="1"/>
  <c r="D37" i="2" s="1"/>
  <c r="B60" i="1"/>
  <c r="C37" i="2" s="1"/>
  <c r="G59" i="1"/>
  <c r="H36" i="2" s="1"/>
  <c r="F59" i="1"/>
  <c r="G36" i="2" s="1"/>
  <c r="E59" i="1"/>
  <c r="F36" i="2" s="1"/>
  <c r="D59" i="1"/>
  <c r="E36" i="2" s="1"/>
  <c r="C59" i="1"/>
  <c r="D36" i="2" s="1"/>
  <c r="B59" i="1"/>
  <c r="C36" i="2" s="1"/>
  <c r="G58" i="1"/>
  <c r="H35" i="2" s="1"/>
  <c r="F58" i="1"/>
  <c r="G35" i="2" s="1"/>
  <c r="E58" i="1"/>
  <c r="F35" i="2" s="1"/>
  <c r="D58" i="1"/>
  <c r="E35" i="2" s="1"/>
  <c r="C58" i="1"/>
  <c r="D35" i="2" s="1"/>
  <c r="B58" i="1"/>
  <c r="C35" i="2" s="1"/>
  <c r="G57" i="1"/>
  <c r="H34" i="2" s="1"/>
  <c r="F57" i="1"/>
  <c r="G34" i="2" s="1"/>
  <c r="E57" i="1"/>
  <c r="F34" i="2" s="1"/>
  <c r="D57" i="1"/>
  <c r="E34" i="2" s="1"/>
  <c r="C57" i="1"/>
  <c r="D34" i="2" s="1"/>
  <c r="B57" i="1"/>
  <c r="C34" i="2" s="1"/>
  <c r="G56" i="1"/>
  <c r="H33" i="2" s="1"/>
  <c r="F56" i="1"/>
  <c r="G33" i="2" s="1"/>
  <c r="E56" i="1"/>
  <c r="F33" i="2" s="1"/>
  <c r="D56" i="1"/>
  <c r="E33" i="2" s="1"/>
  <c r="C56" i="1"/>
  <c r="D33" i="2" s="1"/>
  <c r="B56" i="1"/>
  <c r="C33" i="2" s="1"/>
  <c r="G55" i="1"/>
  <c r="H32" i="2" s="1"/>
  <c r="F55" i="1"/>
  <c r="G32" i="2" s="1"/>
  <c r="E55" i="1"/>
  <c r="F32" i="2" s="1"/>
  <c r="D55" i="1"/>
  <c r="E32" i="2" s="1"/>
  <c r="C55" i="1"/>
  <c r="D32" i="2" s="1"/>
  <c r="B55" i="1"/>
  <c r="C32" i="2" s="1"/>
  <c r="G52" i="1"/>
  <c r="H29" i="2" s="1"/>
  <c r="F52" i="1"/>
  <c r="G29" i="2" s="1"/>
  <c r="E52" i="1"/>
  <c r="F29" i="2" s="1"/>
  <c r="D52" i="1"/>
  <c r="E29" i="2" s="1"/>
  <c r="C52" i="1"/>
  <c r="D29" i="2" s="1"/>
  <c r="B52" i="1"/>
  <c r="C29" i="2" s="1"/>
  <c r="G51" i="1"/>
  <c r="H28" i="2" s="1"/>
  <c r="F51" i="1"/>
  <c r="G28" i="2" s="1"/>
  <c r="E51" i="1"/>
  <c r="F28" i="2" s="1"/>
  <c r="D51" i="1"/>
  <c r="E28" i="2" s="1"/>
  <c r="C51" i="1"/>
  <c r="D28" i="2" s="1"/>
  <c r="B51" i="1"/>
  <c r="C28" i="2" s="1"/>
  <c r="G50" i="1"/>
  <c r="H27" i="2" s="1"/>
  <c r="F50" i="1"/>
  <c r="G27" i="2" s="1"/>
  <c r="E50" i="1"/>
  <c r="F27" i="2" s="1"/>
  <c r="D50" i="1"/>
  <c r="E27" i="2" s="1"/>
  <c r="C50" i="1"/>
  <c r="D27" i="2" s="1"/>
  <c r="G49" i="1"/>
  <c r="H26" i="2" s="1"/>
  <c r="F49" i="1"/>
  <c r="G26" i="2" s="1"/>
  <c r="E49" i="1"/>
  <c r="F26" i="2" s="1"/>
  <c r="D49" i="1"/>
  <c r="E26" i="2" s="1"/>
  <c r="C49" i="1"/>
  <c r="D26" i="2" s="1"/>
  <c r="G48" i="1"/>
  <c r="H25" i="2" s="1"/>
  <c r="F48" i="1"/>
  <c r="G25" i="2" s="1"/>
  <c r="E48" i="1"/>
  <c r="F25" i="2" s="1"/>
  <c r="D48" i="1"/>
  <c r="E25" i="2" s="1"/>
  <c r="C48" i="1"/>
  <c r="D25" i="2" s="1"/>
  <c r="G47" i="1"/>
  <c r="H24" i="2" s="1"/>
  <c r="F47" i="1"/>
  <c r="G24" i="2" s="1"/>
  <c r="E47" i="1"/>
  <c r="F24" i="2" s="1"/>
  <c r="D47" i="1"/>
  <c r="E24" i="2" s="1"/>
  <c r="C47" i="1"/>
  <c r="D24" i="2" s="1"/>
  <c r="B50" i="1"/>
  <c r="C27" i="2" s="1"/>
  <c r="B49" i="1"/>
  <c r="C26" i="2" s="1"/>
  <c r="B48" i="1"/>
  <c r="C25" i="2" s="1"/>
  <c r="B47" i="1"/>
  <c r="C24" i="2" s="1"/>
  <c r="BM29" i="1" l="1"/>
  <c r="AW34" i="1"/>
  <c r="AW33" i="1"/>
  <c r="BM33" i="1"/>
  <c r="AW17" i="1"/>
  <c r="AW30" i="1"/>
  <c r="BM30" i="1"/>
  <c r="AO41" i="1"/>
  <c r="BE38" i="1"/>
  <c r="AO18" i="1"/>
  <c r="BE18" i="1"/>
  <c r="BE15" i="1"/>
  <c r="AW32" i="1"/>
  <c r="AW29" i="1"/>
  <c r="BM34" i="1"/>
  <c r="P34" i="1" s="1"/>
  <c r="BM25" i="1"/>
  <c r="AW21" i="1"/>
  <c r="AW24" i="1"/>
  <c r="AW22" i="1"/>
  <c r="BM24" i="1"/>
  <c r="P24" i="1" s="1"/>
  <c r="BM26" i="1"/>
  <c r="AW25" i="1"/>
  <c r="BM18" i="1"/>
  <c r="AW13" i="1"/>
  <c r="AO42" i="1"/>
  <c r="AO31" i="1"/>
  <c r="BE31" i="1"/>
  <c r="AO29" i="1"/>
  <c r="BE30" i="1"/>
  <c r="AO24" i="1"/>
  <c r="AO25" i="1"/>
  <c r="BE26" i="1"/>
  <c r="AO14" i="1"/>
  <c r="AO13" i="1"/>
  <c r="BE16" i="1"/>
  <c r="AW31" i="1"/>
  <c r="BM31" i="1"/>
  <c r="BM32" i="1"/>
  <c r="BM23" i="1"/>
  <c r="BM21" i="1"/>
  <c r="AW26" i="1"/>
  <c r="AW23" i="1"/>
  <c r="BM22" i="1"/>
  <c r="AW15" i="1"/>
  <c r="BM16" i="1"/>
  <c r="AW16" i="1"/>
  <c r="BM13" i="1"/>
  <c r="BM14" i="1"/>
  <c r="AW14" i="1"/>
  <c r="AW18" i="1"/>
  <c r="BM17" i="1"/>
  <c r="BM15" i="1"/>
  <c r="BE39" i="1"/>
  <c r="BE41" i="1"/>
  <c r="BE42" i="1"/>
  <c r="BE40" i="1"/>
  <c r="AO38" i="1"/>
  <c r="H38" i="1" s="1"/>
  <c r="AO39" i="1"/>
  <c r="AO37" i="1"/>
  <c r="BE37" i="1"/>
  <c r="AO40" i="1"/>
  <c r="BE29" i="1"/>
  <c r="AO34" i="1"/>
  <c r="AO30" i="1"/>
  <c r="BE33" i="1"/>
  <c r="BE34" i="1"/>
  <c r="AO33" i="1"/>
  <c r="BE32" i="1"/>
  <c r="AO32" i="1"/>
  <c r="AO21" i="1"/>
  <c r="AO26" i="1"/>
  <c r="BE23" i="1"/>
  <c r="AO22" i="1"/>
  <c r="AO23" i="1"/>
  <c r="BE21" i="1"/>
  <c r="BE25" i="1"/>
  <c r="BE24" i="1"/>
  <c r="BE22" i="1"/>
  <c r="AO15" i="1"/>
  <c r="BE13" i="1"/>
  <c r="BE14" i="1"/>
  <c r="AO16" i="1"/>
  <c r="BE17" i="1"/>
  <c r="AO17" i="1"/>
  <c r="M37" i="2"/>
  <c r="N37" i="2"/>
  <c r="M94" i="2"/>
  <c r="M27" i="2"/>
  <c r="N146" i="2"/>
  <c r="N96" i="2"/>
  <c r="L98" i="2"/>
  <c r="N147" i="2"/>
  <c r="M26" i="2"/>
  <c r="M148" i="2"/>
  <c r="N90" i="2"/>
  <c r="M154" i="2"/>
  <c r="M32" i="2"/>
  <c r="M36" i="2"/>
  <c r="M158" i="2"/>
  <c r="M210" i="2"/>
  <c r="N25" i="2"/>
  <c r="N29" i="2"/>
  <c r="N35" i="2"/>
  <c r="M85" i="2"/>
  <c r="M89" i="2"/>
  <c r="N150" i="2"/>
  <c r="N156" i="2"/>
  <c r="N208" i="2"/>
  <c r="M93" i="2"/>
  <c r="M97" i="2"/>
  <c r="L151" i="2"/>
  <c r="M157" i="2"/>
  <c r="M209" i="2"/>
  <c r="I209" i="2" s="1"/>
  <c r="M24" i="2"/>
  <c r="M86" i="2"/>
  <c r="N33" i="2"/>
  <c r="M87" i="2"/>
  <c r="M28" i="2"/>
  <c r="M34" i="2"/>
  <c r="M95" i="2"/>
  <c r="M149" i="2"/>
  <c r="M155" i="2"/>
  <c r="L159" i="2"/>
  <c r="M207" i="2"/>
  <c r="M211" i="2"/>
  <c r="M88" i="2"/>
  <c r="M151" i="2"/>
  <c r="M29" i="2"/>
  <c r="L35" i="2"/>
  <c r="L89" i="2"/>
  <c r="L149" i="2"/>
  <c r="L27" i="2"/>
  <c r="L87" i="2"/>
  <c r="L97" i="2"/>
  <c r="L207" i="2"/>
  <c r="L85" i="2"/>
  <c r="I85" i="2" s="1"/>
  <c r="L147" i="2"/>
  <c r="L25" i="2"/>
  <c r="L36" i="2"/>
  <c r="L93" i="2"/>
  <c r="L150" i="2"/>
  <c r="L210" i="2"/>
  <c r="M212" i="2"/>
  <c r="I212" i="2" s="1"/>
  <c r="L33" i="2"/>
  <c r="L156" i="2"/>
  <c r="L28" i="2"/>
  <c r="L88" i="2"/>
  <c r="M90" i="2"/>
  <c r="L208" i="2"/>
  <c r="L154" i="2"/>
  <c r="L158" i="2"/>
  <c r="L34" i="2"/>
  <c r="L86" i="2"/>
  <c r="L96" i="2"/>
  <c r="M98" i="2"/>
  <c r="L148" i="2"/>
  <c r="L157" i="2"/>
  <c r="L95" i="2"/>
  <c r="L26" i="2"/>
  <c r="M159" i="2"/>
  <c r="L211" i="2"/>
  <c r="L24" i="2"/>
  <c r="L32" i="2"/>
  <c r="L94" i="2"/>
  <c r="L146" i="2"/>
  <c r="L155" i="2"/>
  <c r="I93" i="2" l="1"/>
  <c r="P29" i="1"/>
  <c r="P21" i="1"/>
  <c r="H24" i="1"/>
  <c r="H16" i="1"/>
  <c r="H18" i="1"/>
  <c r="I157" i="2"/>
  <c r="I27" i="2"/>
  <c r="P33" i="1"/>
  <c r="P15" i="1"/>
  <c r="H42" i="1"/>
  <c r="I94" i="2"/>
  <c r="P13" i="1"/>
  <c r="P17" i="1"/>
  <c r="P18" i="1"/>
  <c r="H15" i="1"/>
  <c r="I26" i="2"/>
  <c r="I37" i="2"/>
  <c r="I207" i="2"/>
  <c r="I154" i="2"/>
  <c r="P30" i="1"/>
  <c r="P14" i="1"/>
  <c r="H41" i="1"/>
  <c r="H26" i="1"/>
  <c r="I25" i="2"/>
  <c r="I146" i="2"/>
  <c r="I211" i="2"/>
  <c r="I87" i="2"/>
  <c r="P25" i="1"/>
  <c r="P32" i="1"/>
  <c r="P23" i="1"/>
  <c r="P22" i="1"/>
  <c r="H40" i="1"/>
  <c r="H39" i="1"/>
  <c r="H31" i="1"/>
  <c r="H30" i="1"/>
  <c r="H29" i="1"/>
  <c r="H34" i="1"/>
  <c r="H33" i="1"/>
  <c r="H23" i="1"/>
  <c r="H14" i="1"/>
  <c r="H13" i="1"/>
  <c r="I150" i="2"/>
  <c r="P26" i="1"/>
  <c r="P16" i="1"/>
  <c r="H25" i="1"/>
  <c r="H17" i="1"/>
  <c r="P31" i="1"/>
  <c r="H37" i="1"/>
  <c r="H32" i="1"/>
  <c r="H22" i="1"/>
  <c r="H21" i="1"/>
  <c r="I98" i="2"/>
  <c r="I32" i="2"/>
  <c r="I96" i="2"/>
  <c r="I147" i="2"/>
  <c r="I33" i="2"/>
  <c r="I210" i="2"/>
  <c r="I34" i="2"/>
  <c r="I29" i="2"/>
  <c r="I35" i="2"/>
  <c r="I148" i="2"/>
  <c r="I90" i="2"/>
  <c r="I88" i="2"/>
  <c r="I149" i="2"/>
  <c r="I36" i="2"/>
  <c r="I24" i="2"/>
  <c r="I28" i="2"/>
  <c r="I158" i="2"/>
  <c r="I155" i="2"/>
  <c r="I95" i="2"/>
  <c r="I97" i="2"/>
  <c r="I151" i="2"/>
  <c r="I208" i="2"/>
  <c r="I89" i="2"/>
  <c r="I86" i="2"/>
  <c r="I156" i="2"/>
  <c r="I159" i="2"/>
</calcChain>
</file>

<file path=xl/sharedStrings.xml><?xml version="1.0" encoding="utf-8"?>
<sst xmlns="http://schemas.openxmlformats.org/spreadsheetml/2006/main" count="438" uniqueCount="160">
  <si>
    <t>Signal Input</t>
  </si>
  <si>
    <t>&lt;-- Column Names</t>
  </si>
  <si>
    <t>page 1</t>
  </si>
  <si>
    <t>page 2</t>
  </si>
  <si>
    <t>page 3</t>
  </si>
  <si>
    <t>page 4</t>
  </si>
  <si>
    <t>page 5</t>
  </si>
  <si>
    <t>page 6</t>
  </si>
  <si>
    <t>and on to page 3638</t>
  </si>
  <si>
    <t>Input</t>
  </si>
  <si>
    <t>Point 1</t>
  </si>
  <si>
    <t>Point 2</t>
  </si>
  <si>
    <t>Point 3</t>
  </si>
  <si>
    <t>Point 4</t>
  </si>
  <si>
    <t>Point 5</t>
  </si>
  <si>
    <t>Point 6</t>
  </si>
  <si>
    <t>TYPE "J"</t>
  </si>
  <si>
    <t>POINT #1</t>
  </si>
  <si>
    <t>POINT #2</t>
  </si>
  <si>
    <t>POINT #3</t>
  </si>
  <si>
    <t>POINT #4</t>
  </si>
  <si>
    <t>POINT #5</t>
  </si>
  <si>
    <t>POINT #6</t>
  </si>
  <si>
    <t>POINT #7</t>
  </si>
  <si>
    <t>POINT #8</t>
  </si>
  <si>
    <t>POINT #9</t>
  </si>
  <si>
    <t>POINT #10</t>
  </si>
  <si>
    <t>POINT #11</t>
  </si>
  <si>
    <t>POINT #12</t>
  </si>
  <si>
    <t>POINT #13</t>
  </si>
  <si>
    <t>POINT #14</t>
  </si>
  <si>
    <t>POINT #15</t>
  </si>
  <si>
    <t>POINT #16</t>
  </si>
  <si>
    <t>POINT #17</t>
  </si>
  <si>
    <t>POINT #18</t>
  </si>
  <si>
    <t>POINT #19</t>
  </si>
  <si>
    <t>POINT#20</t>
  </si>
  <si>
    <t>POINT #21</t>
  </si>
  <si>
    <t>POINT #22</t>
  </si>
  <si>
    <t>POINT #23</t>
  </si>
  <si>
    <t>POINT #24</t>
  </si>
  <si>
    <t>POINT #25</t>
  </si>
  <si>
    <t>POINT #26</t>
  </si>
  <si>
    <t>POINT #27</t>
  </si>
  <si>
    <t>POINT #28</t>
  </si>
  <si>
    <t>POINT #29</t>
  </si>
  <si>
    <t>POINT #30</t>
  </si>
  <si>
    <t>POINT #31</t>
  </si>
  <si>
    <t>POINT #32</t>
  </si>
  <si>
    <t>POINT #33</t>
  </si>
  <si>
    <t>POINT #34</t>
  </si>
  <si>
    <t>POINT #35</t>
  </si>
  <si>
    <t>POINT #36</t>
  </si>
  <si>
    <t>POINT #37</t>
  </si>
  <si>
    <t>POINT #38</t>
  </si>
  <si>
    <t>POINT #39</t>
  </si>
  <si>
    <t>POINT #40</t>
  </si>
  <si>
    <t>As Found Readings</t>
  </si>
  <si>
    <t>Johnson Gage and Inspection, Inc.</t>
  </si>
  <si>
    <t>5920 West 21st Street North, Wichita, KS 67205</t>
  </si>
  <si>
    <t>Phone:  316-943-7532;  FAX:  316-944-6256</t>
  </si>
  <si>
    <t xml:space="preserve">Report Number: </t>
  </si>
  <si>
    <t xml:space="preserve">Customer: </t>
  </si>
  <si>
    <t xml:space="preserve">Inspector: </t>
  </si>
  <si>
    <t xml:space="preserve">Date Calibrated: </t>
  </si>
  <si>
    <t xml:space="preserve">Recalibration Date: </t>
  </si>
  <si>
    <t xml:space="preserve">Temperature: </t>
  </si>
  <si>
    <t xml:space="preserve">Relative Humidity: </t>
  </si>
  <si>
    <t xml:space="preserve">Model Number: </t>
  </si>
  <si>
    <t xml:space="preserve">Serial Number: </t>
  </si>
  <si>
    <t xml:space="preserve">Tolerance: </t>
  </si>
  <si>
    <t xml:space="preserve">Controlling Specification(s): </t>
  </si>
  <si>
    <t xml:space="preserve">Tolerance Source: </t>
  </si>
  <si>
    <t xml:space="preserve">Item: </t>
  </si>
  <si>
    <t xml:space="preserve">Unit Number: </t>
  </si>
  <si>
    <t xml:space="preserve">Location: </t>
  </si>
  <si>
    <t xml:space="preserve">Date Cal: </t>
  </si>
  <si>
    <t xml:space="preserve">Recal Date: </t>
  </si>
  <si>
    <t xml:space="preserve">%RH: </t>
  </si>
  <si>
    <t xml:space="preserve">Standard </t>
  </si>
  <si>
    <t>Instrument Readout</t>
  </si>
  <si>
    <t>Data Acquisition System</t>
  </si>
  <si>
    <t>DaqBook/2005</t>
  </si>
  <si>
    <t>Pyrometry</t>
  </si>
  <si>
    <t xml:space="preserve">Certified Range: </t>
  </si>
  <si>
    <t xml:space="preserve">Resolution: </t>
  </si>
  <si>
    <t xml:space="preserve">Controlling Specifications: </t>
  </si>
  <si>
    <t>Certified Range:</t>
  </si>
  <si>
    <t>Controlling Specs.</t>
  </si>
  <si>
    <t>AMS 2750F</t>
  </si>
  <si>
    <t>BAC 5621L</t>
  </si>
  <si>
    <t>AMS 2750F, BAC 5621L</t>
  </si>
  <si>
    <t>BAERD GEN-007D</t>
  </si>
  <si>
    <t>Customer Instructions</t>
  </si>
  <si>
    <t>Tolerance Source</t>
  </si>
  <si>
    <t>Specification</t>
  </si>
  <si>
    <t>Customer</t>
  </si>
  <si>
    <t>-100°F / +1000°F</t>
  </si>
  <si>
    <t>0.1°F</t>
  </si>
  <si>
    <t>Inspectors</t>
  </si>
  <si>
    <t>Alex Charles</t>
  </si>
  <si>
    <t>Dan Turkali</t>
  </si>
  <si>
    <t>Joe Craig</t>
  </si>
  <si>
    <t>Josh Kiefer</t>
  </si>
  <si>
    <t>Kevin Ferrante</t>
  </si>
  <si>
    <t>Matt Coleman</t>
  </si>
  <si>
    <t>Scott Porter</t>
  </si>
  <si>
    <t>Jesse Turner</t>
  </si>
  <si>
    <t>Karsten Blyseth</t>
  </si>
  <si>
    <t>Uncertainty</t>
  </si>
  <si>
    <t>@k=2</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</si>
  <si>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</si>
  <si>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</si>
  <si>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 xml:space="preserve">Item Condition: </t>
  </si>
  <si>
    <t>Used</t>
  </si>
  <si>
    <t>Comments:</t>
  </si>
  <si>
    <t xml:space="preserve">Comments: </t>
  </si>
  <si>
    <t>Found in tolerance.  No adjustment required.  Above results represent both as found and as left readings.</t>
  </si>
  <si>
    <t xml:space="preserve">Results: </t>
  </si>
  <si>
    <t>Accepted</t>
  </si>
  <si>
    <t>TEST EQUIPMENT</t>
  </si>
  <si>
    <t>Test Equipment</t>
  </si>
  <si>
    <t>S/N</t>
  </si>
  <si>
    <t>Date Certified</t>
  </si>
  <si>
    <t>Date Due</t>
  </si>
  <si>
    <t>Traceability Number</t>
  </si>
  <si>
    <t>T/N</t>
  </si>
  <si>
    <t>Rev. G  3-22-21</t>
  </si>
  <si>
    <t>Form 4008B</t>
  </si>
  <si>
    <t>-120 to 500</t>
  </si>
  <si>
    <t>500.1 to 1350</t>
  </si>
  <si>
    <t>1350.1 to 2192</t>
  </si>
  <si>
    <t>J Uncertainties, current</t>
  </si>
  <si>
    <t>Unlock: jgi</t>
  </si>
  <si>
    <t>Check 1</t>
  </si>
  <si>
    <t>Check 2</t>
  </si>
  <si>
    <t>Total</t>
  </si>
  <si>
    <t>Date:</t>
  </si>
  <si>
    <t>Inspector:</t>
  </si>
  <si>
    <t>Unit:</t>
  </si>
  <si>
    <t>JGI J1</t>
  </si>
  <si>
    <t>Note: save this form in "data" folder under new name, "JGI/date/letter(representing sequence of</t>
  </si>
  <si>
    <t>calibrations for that day)".  EXAMPLE: "JGI01209A"</t>
  </si>
  <si>
    <t>Datasheet</t>
  </si>
  <si>
    <t>KF</t>
  </si>
  <si>
    <t>Greater of ±1.0°F or ±0.1% Rdg</t>
  </si>
  <si>
    <t>Deviations</t>
  </si>
  <si>
    <t>Datasheet - Deviations Only</t>
  </si>
  <si>
    <t>Page 5 of 5</t>
  </si>
  <si>
    <t>Page 1 of 5</t>
  </si>
  <si>
    <t>Page 2 of 5</t>
  </si>
  <si>
    <t>Page 3 of 5</t>
  </si>
  <si>
    <t>Page 4 of 5</t>
  </si>
  <si>
    <t>Standard</t>
  </si>
  <si>
    <t>Stewart Cooley</t>
  </si>
  <si>
    <t>J1</t>
  </si>
  <si>
    <t>AMS 2750H</t>
  </si>
  <si>
    <t>Additel</t>
  </si>
  <si>
    <t>56561-060578</t>
  </si>
  <si>
    <t>J10325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</si>
</sst>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F"/>
    <numFmt numFmtId="166" formatCode="[$-409]mmmm\ d\,\ yyyy;@"/>
    <numFmt numFmtId="167" formatCode="0.0\ \°\F"/>
    <numFmt numFmtId="168" formatCode="0\ &quot;%RH&quot;"/>
    <numFmt numFmtId="169" formatCode="m/d/yyyy;@"/>
    <numFmt numFmtId="170" formatCode="0.00\°\F"/>
  </numFmts>
  <fonts count="24" x14ac:knownFonts="1">
    <font>
      <sz val="10"/>
      <name val="Arial"/>
    </font>
    <font>
      <b/>
      <sz val="10"/>
      <name val="Arial"/>
      <family val="2"/>
    </font>
    <font>
      <sz val="10"/>
      <name val="Arial"/>
      <family val="2"/>
    </font>
    <font>
      <u/>
      <sz val="10"/>
      <name val="Arial"/>
      <family val="2"/>
    </font>
    <font>
      <sz val="12"/>
      <name val="Arial"/>
      <family val="2"/>
    </font>
    <font>
      <sz val="12"/>
      <color theme="1"/>
      <name val="Calibri"/>
      <family val="2"/>
      <scheme val="minor"/>
    </font>
    <font>
      <sz val="14"/>
      <color theme="1"/>
      <name val="Calibri"/>
      <family val="2"/>
      <scheme val="minor"/>
    </font>
    <font>
      <u/>
      <sz val="11"/>
      <color theme="1"/>
      <name val="Calibri"/>
      <family val="2"/>
      <scheme val="minor"/>
    </font>
    <font>
      <sz val="12"/>
      <name val="Calibri"/>
      <family val="2"/>
      <scheme val="minor"/>
    </font>
    <font>
      <b/>
      <sz val="14"/>
      <name val="Calibri"/>
      <family val="2"/>
      <scheme val="minor"/>
    </font>
    <font>
      <i/>
      <sz val="14"/>
      <name val="Calibri"/>
      <family val="2"/>
      <scheme val="minor"/>
    </font>
    <font>
      <sz val="14"/>
      <name val="Calibri"/>
      <family val="2"/>
      <scheme val="minor"/>
    </font>
    <font>
      <b/>
      <sz val="14"/>
      <color theme="1"/>
      <name val="Calibri"/>
      <family val="2"/>
      <scheme val="minor"/>
    </font>
    <font>
      <u/>
      <sz val="14"/>
      <name val="Calibri"/>
      <family val="2"/>
      <scheme val="minor"/>
    </font>
    <font>
      <u/>
      <sz val="12"/>
      <color theme="1"/>
      <name val="Calibri"/>
      <family val="2"/>
      <scheme val="minor"/>
    </font>
    <font>
      <b/>
      <sz val="22"/>
      <name val="Calibri"/>
      <family val="2"/>
      <scheme val="minor"/>
    </font>
    <font>
      <b/>
      <sz val="18"/>
      <color theme="1"/>
      <name val="Calibri"/>
      <family val="2"/>
      <scheme val="minor"/>
    </font>
    <font>
      <sz val="8"/>
      <color theme="1"/>
      <name val="Calibri"/>
      <family val="2"/>
      <scheme val="minor"/>
    </font>
    <font>
      <sz val="8"/>
      <name val="Calibri"/>
      <family val="2"/>
      <scheme val="minor"/>
    </font>
    <font>
      <b/>
      <sz val="12"/>
      <color theme="1"/>
      <name val="Calibri"/>
      <family val="2"/>
      <scheme val="minor"/>
    </font>
    <font>
      <sz val="11"/>
      <name val="Calibri"/>
      <family val="2"/>
      <scheme val="minor"/>
    </font>
    <font>
      <b/>
      <sz val="10"/>
      <color rgb="FFFF0000"/>
      <name val="Arial"/>
      <family val="2"/>
    </font>
    <font>
      <b/>
      <sz val="12"/>
      <color rgb="FF000000"/>
      <name val="Arial"/>
      <family val="2"/>
    </font>
    <font>
      <u/>
      <sz val="12"/>
      <name val="Calibri"/>
      <family val="2"/>
      <scheme val="minor"/>
    </font>
  </fonts>
  <fills count="5">
    <fill>
      <patternFill patternType="none"/>
    </fill>
    <fill>
      <patternFill patternType="gray125"/>
    </fill>
    <fill>
      <patternFill patternType="solid">
        <fgColor theme="0" tint="-0.499984740745262"/>
        <bgColor indexed="64"/>
      </patternFill>
    </fill>
    <fill>
      <patternFill patternType="solid">
        <fgColor theme="4" tint="0.79998168889431442"/>
        <bgColor indexed="64"/>
      </patternFill>
    </fill>
    <fill>
      <patternFill patternType="solid">
        <fgColor theme="0" tint="-0.34998626667073579"/>
        <bgColor indexed="64"/>
      </patternFill>
    </fill>
  </fills>
  <borders count="25">
    <border>
      <left/>
      <right/>
      <top/>
      <bottom/>
      <diagonal/>
    </border>
    <border>
      <left style="thin">
        <color indexed="53"/>
      </left>
      <right/>
      <top style="thin">
        <color indexed="53"/>
      </top>
      <bottom style="thin">
        <color indexed="53"/>
      </bottom>
      <diagonal/>
    </border>
    <border>
      <left style="thin">
        <color indexed="17"/>
      </left>
      <right/>
      <top style="thin">
        <color indexed="17"/>
      </top>
      <bottom/>
      <diagonal/>
    </border>
    <border>
      <left/>
      <right/>
      <top style="thin">
        <color indexed="17"/>
      </top>
      <bottom/>
      <diagonal/>
    </border>
    <border>
      <left/>
      <right style="thin">
        <color indexed="17"/>
      </right>
      <top style="thin">
        <color indexed="17"/>
      </top>
      <bottom/>
      <diagonal/>
    </border>
    <border>
      <left style="thin">
        <color indexed="17"/>
      </left>
      <right/>
      <top/>
      <bottom/>
      <diagonal/>
    </border>
    <border>
      <left/>
      <right style="thin">
        <color indexed="17"/>
      </right>
      <top/>
      <bottom/>
      <diagonal/>
    </border>
    <border>
      <left style="thin">
        <color indexed="17"/>
      </left>
      <right/>
      <top/>
      <bottom style="thin">
        <color indexed="17"/>
      </bottom>
      <diagonal/>
    </border>
    <border>
      <left/>
      <right/>
      <top/>
      <bottom style="thin">
        <color indexed="17"/>
      </bottom>
      <diagonal/>
    </border>
    <border>
      <left/>
      <right style="thin">
        <color indexed="17"/>
      </right>
      <top/>
      <bottom style="thin">
        <color indexed="17"/>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137">
    <xf numFmtId="0" fontId="0" fillId="0" borderId="0" xfId="0"/>
    <xf numFmtId="0" fontId="0" fillId="0" borderId="0" xfId="0" quotePrefix="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applyAlignment="1">
      <alignment horizontal="left"/>
    </xf>
    <xf numFmtId="0" fontId="0" fillId="0" borderId="10" xfId="0" applyBorder="1"/>
    <xf numFmtId="164" fontId="0" fillId="0" borderId="10" xfId="0" applyNumberFormat="1" applyBorder="1"/>
    <xf numFmtId="0" fontId="0" fillId="0" borderId="0" xfId="0" applyAlignment="1">
      <alignment horizontal="left"/>
    </xf>
    <xf numFmtId="0" fontId="1" fillId="0" borderId="0" xfId="0" applyFont="1"/>
    <xf numFmtId="165" fontId="0" fillId="0" borderId="0" xfId="0" applyNumberFormat="1"/>
    <xf numFmtId="165" fontId="0" fillId="0" borderId="5" xfId="0" applyNumberFormat="1" applyBorder="1" applyAlignment="1">
      <alignment horizontal="left"/>
    </xf>
    <xf numFmtId="0" fontId="0" fillId="0" borderId="0" xfId="0" applyAlignment="1">
      <alignment horizontal="right"/>
    </xf>
    <xf numFmtId="0" fontId="5" fillId="0" borderId="0" xfId="0" applyFont="1"/>
    <xf numFmtId="0" fontId="5" fillId="0" borderId="0" xfId="0" applyFont="1" applyAlignment="1">
      <alignment horizontal="right"/>
    </xf>
    <xf numFmtId="0" fontId="5" fillId="2" borderId="0" xfId="0" applyFont="1" applyFill="1"/>
    <xf numFmtId="0" fontId="5" fillId="2" borderId="0" xfId="0" applyFont="1" applyFill="1" applyAlignment="1">
      <alignment horizontal="right"/>
    </xf>
    <xf numFmtId="0" fontId="2" fillId="0" borderId="0" xfId="0" applyFont="1"/>
    <xf numFmtId="0" fontId="1" fillId="0" borderId="0" xfId="0" applyFont="1" applyAlignment="1">
      <alignment horizontal="right"/>
    </xf>
    <xf numFmtId="0" fontId="6" fillId="0" borderId="0" xfId="0" applyFont="1" applyAlignment="1">
      <alignment horizontal="right"/>
    </xf>
    <xf numFmtId="0" fontId="6" fillId="0" borderId="0" xfId="0" applyFont="1" applyAlignment="1">
      <alignment horizontal="left"/>
    </xf>
    <xf numFmtId="0" fontId="6" fillId="0" borderId="0" xfId="0" applyFont="1"/>
    <xf numFmtId="0" fontId="6" fillId="0" borderId="0" xfId="0" applyFont="1" applyAlignment="1" applyProtection="1">
      <alignment horizontal="right"/>
      <protection locked="0"/>
    </xf>
    <xf numFmtId="0" fontId="6" fillId="0" borderId="0" xfId="0" applyFont="1" applyAlignment="1">
      <alignment vertical="top" wrapText="1"/>
    </xf>
    <xf numFmtId="0" fontId="1" fillId="0" borderId="11" xfId="0" applyFont="1" applyBorder="1" applyAlignment="1">
      <alignment horizontal="right"/>
    </xf>
    <xf numFmtId="0" fontId="0" fillId="0" borderId="11" xfId="0" applyBorder="1"/>
    <xf numFmtId="0" fontId="3" fillId="0" borderId="0" xfId="0" applyFont="1"/>
    <xf numFmtId="0" fontId="7" fillId="0" borderId="0" xfId="0" applyFont="1"/>
    <xf numFmtId="0" fontId="8" fillId="0" borderId="0" xfId="0" applyFont="1"/>
    <xf numFmtId="0" fontId="9" fillId="0" borderId="0" xfId="0" applyFont="1" applyAlignment="1">
      <alignment horizontal="right"/>
    </xf>
    <xf numFmtId="0" fontId="10" fillId="0" borderId="0" xfId="0" applyFont="1"/>
    <xf numFmtId="0" fontId="11" fillId="0" borderId="0" xfId="0" applyFont="1"/>
    <xf numFmtId="167" fontId="11" fillId="0" borderId="0" xfId="0" applyNumberFormat="1" applyFont="1"/>
    <xf numFmtId="14" fontId="11" fillId="0" borderId="0" xfId="0" applyNumberFormat="1" applyFont="1" applyAlignment="1">
      <alignment horizontal="left"/>
    </xf>
    <xf numFmtId="167" fontId="11" fillId="0" borderId="0" xfId="0" applyNumberFormat="1" applyFont="1" applyAlignment="1">
      <alignment horizontal="left"/>
    </xf>
    <xf numFmtId="166" fontId="6" fillId="0" borderId="0" xfId="0" applyNumberFormat="1" applyFont="1"/>
    <xf numFmtId="167" fontId="6" fillId="0" borderId="0" xfId="0" applyNumberFormat="1" applyFont="1"/>
    <xf numFmtId="168" fontId="6" fillId="0" borderId="0" xfId="0" applyNumberFormat="1" applyFont="1" applyAlignment="1">
      <alignment horizontal="left"/>
    </xf>
    <xf numFmtId="168" fontId="6" fillId="0" borderId="0" xfId="0" applyNumberFormat="1" applyFont="1"/>
    <xf numFmtId="0" fontId="12" fillId="0" borderId="0" xfId="0" applyFont="1"/>
    <xf numFmtId="0" fontId="13" fillId="0" borderId="0" xfId="0" applyFont="1"/>
    <xf numFmtId="0" fontId="9" fillId="0" borderId="0" xfId="0" applyFont="1"/>
    <xf numFmtId="0" fontId="8" fillId="0" borderId="0" xfId="0" quotePrefix="1" applyFont="1"/>
    <xf numFmtId="0" fontId="0" fillId="2" borderId="0" xfId="0" applyFill="1"/>
    <xf numFmtId="0" fontId="11" fillId="2" borderId="0" xfId="0" applyFont="1" applyFill="1"/>
    <xf numFmtId="0" fontId="4" fillId="2" borderId="0" xfId="0" applyFont="1" applyFill="1"/>
    <xf numFmtId="169" fontId="11" fillId="0" borderId="0" xfId="0" applyNumberFormat="1" applyFont="1"/>
    <xf numFmtId="14" fontId="11" fillId="0" borderId="0" xfId="0" applyNumberFormat="1" applyFont="1"/>
    <xf numFmtId="0" fontId="11" fillId="0" borderId="0" xfId="0" applyFont="1" applyAlignment="1">
      <alignment horizontal="right"/>
    </xf>
    <xf numFmtId="0" fontId="14" fillId="0" borderId="0" xfId="0" applyFont="1" applyAlignment="1">
      <alignment horizontal="center"/>
    </xf>
    <xf numFmtId="14" fontId="5" fillId="0" borderId="10" xfId="0" applyNumberFormat="1" applyFont="1" applyBorder="1"/>
    <xf numFmtId="0" fontId="0" fillId="0" borderId="17" xfId="0" applyBorder="1"/>
    <xf numFmtId="0" fontId="0" fillId="0" borderId="18" xfId="0" applyBorder="1"/>
    <xf numFmtId="0" fontId="0" fillId="0" borderId="19" xfId="0" quotePrefix="1" applyBorder="1"/>
    <xf numFmtId="0" fontId="0" fillId="0" borderId="20" xfId="0" applyBorder="1"/>
    <xf numFmtId="0" fontId="0" fillId="0" borderId="21" xfId="0" applyBorder="1"/>
    <xf numFmtId="0" fontId="0" fillId="0" borderId="22" xfId="0" applyBorder="1"/>
    <xf numFmtId="0" fontId="20" fillId="0" borderId="0" xfId="0" applyFont="1"/>
    <xf numFmtId="167" fontId="13" fillId="0" borderId="0" xfId="0" applyNumberFormat="1" applyFont="1"/>
    <xf numFmtId="165" fontId="11" fillId="0" borderId="0" xfId="0" applyNumberFormat="1" applyFont="1"/>
    <xf numFmtId="0" fontId="2" fillId="0" borderId="19" xfId="0" applyFont="1" applyBorder="1"/>
    <xf numFmtId="0" fontId="0" fillId="0" borderId="23" xfId="0" applyBorder="1" applyAlignment="1">
      <alignment horizontal="left"/>
    </xf>
    <xf numFmtId="0" fontId="0" fillId="0" borderId="24" xfId="0" applyBorder="1"/>
    <xf numFmtId="0" fontId="2" fillId="0" borderId="17" xfId="0" applyFont="1" applyBorder="1"/>
    <xf numFmtId="164" fontId="0" fillId="0" borderId="0" xfId="0" applyNumberFormat="1"/>
    <xf numFmtId="0" fontId="21" fillId="0" borderId="0" xfId="0" applyFont="1"/>
    <xf numFmtId="164" fontId="0" fillId="0" borderId="10" xfId="0" applyNumberFormat="1" applyBorder="1" applyProtection="1">
      <protection locked="0"/>
    </xf>
    <xf numFmtId="0" fontId="0" fillId="0" borderId="0" xfId="0" applyAlignment="1" applyProtection="1">
      <alignment horizontal="left"/>
      <protection locked="0"/>
    </xf>
    <xf numFmtId="0" fontId="0" fillId="3" borderId="10" xfId="0" applyFill="1" applyBorder="1" applyProtection="1">
      <protection locked="0"/>
    </xf>
    <xf numFmtId="0" fontId="2" fillId="3" borderId="10" xfId="0" applyFont="1" applyFill="1" applyBorder="1" applyProtection="1">
      <protection locked="0"/>
    </xf>
    <xf numFmtId="0" fontId="5" fillId="0" borderId="0" xfId="0" applyFont="1" applyAlignment="1">
      <alignment horizontal="center"/>
    </xf>
    <xf numFmtId="14" fontId="5" fillId="0" borderId="0" xfId="0" applyNumberFormat="1" applyFont="1"/>
    <xf numFmtId="14" fontId="1" fillId="0" borderId="0" xfId="0" applyNumberFormat="1" applyFont="1"/>
    <xf numFmtId="164" fontId="2" fillId="0" borderId="10" xfId="0" applyNumberFormat="1" applyFont="1" applyBorder="1" applyProtection="1">
      <protection locked="0"/>
    </xf>
    <xf numFmtId="0" fontId="0" fillId="4" borderId="0" xfId="0" applyFill="1"/>
    <xf numFmtId="0" fontId="17" fillId="0" borderId="0" xfId="0" applyFont="1"/>
    <xf numFmtId="0" fontId="18" fillId="0" borderId="0" xfId="0" applyFont="1" applyAlignment="1">
      <alignment vertical="top" wrapText="1"/>
    </xf>
    <xf numFmtId="0" fontId="4" fillId="0" borderId="0" xfId="0" applyFont="1"/>
    <xf numFmtId="0" fontId="5" fillId="0" borderId="0" xfId="0" applyFont="1" applyAlignment="1">
      <alignment horizontal="center" vertical="center"/>
    </xf>
    <xf numFmtId="0" fontId="23" fillId="0" borderId="0" xfId="0" applyFont="1" applyAlignment="1">
      <alignment horizontal="center" vertical="center"/>
    </xf>
    <xf numFmtId="169" fontId="8" fillId="0" borderId="0" xfId="0" applyNumberFormat="1" applyFont="1" applyAlignment="1">
      <alignment horizontal="center" vertical="center"/>
    </xf>
    <xf numFmtId="0" fontId="8" fillId="0" borderId="10" xfId="0" applyFont="1" applyBorder="1" applyAlignment="1">
      <alignment horizontal="center" vertical="center"/>
    </xf>
    <xf numFmtId="14" fontId="8" fillId="0" borderId="0" xfId="0" applyNumberFormat="1" applyFont="1" applyAlignment="1">
      <alignment horizontal="center" vertical="center"/>
    </xf>
    <xf numFmtId="167" fontId="8" fillId="0" borderId="0" xfId="0" applyNumberFormat="1" applyFont="1" applyAlignment="1">
      <alignment horizontal="center" vertical="center"/>
    </xf>
    <xf numFmtId="168" fontId="5" fillId="0" borderId="0" xfId="0" applyNumberFormat="1" applyFont="1" applyAlignment="1">
      <alignment horizontal="center" vertical="center"/>
    </xf>
    <xf numFmtId="0" fontId="5" fillId="0" borderId="0" xfId="0" applyFont="1" applyAlignment="1">
      <alignment horizontal="center" vertical="center" wrapText="1"/>
    </xf>
    <xf numFmtId="0" fontId="8" fillId="0" borderId="0" xfId="0" applyFont="1" applyAlignment="1">
      <alignment horizontal="center" vertical="center"/>
    </xf>
    <xf numFmtId="0" fontId="8" fillId="0" borderId="0" xfId="0" quotePrefix="1" applyFont="1" applyAlignment="1">
      <alignment horizontal="center" vertical="center"/>
    </xf>
    <xf numFmtId="170" fontId="8" fillId="0" borderId="0" xfId="0" applyNumberFormat="1" applyFont="1" applyAlignment="1">
      <alignment horizontal="center" vertical="center"/>
    </xf>
    <xf numFmtId="0" fontId="8" fillId="0" borderId="0" xfId="0" applyFont="1" applyAlignment="1">
      <alignment horizontal="center" vertical="center" wrapText="1"/>
    </xf>
    <xf numFmtId="0" fontId="8" fillId="0" borderId="10" xfId="0" applyFont="1" applyBorder="1" applyAlignment="1">
      <alignment horizontal="center" vertical="center" wrapText="1"/>
    </xf>
    <xf numFmtId="0" fontId="4" fillId="0" borderId="0" xfId="0" applyFont="1" applyAlignment="1">
      <alignment horizontal="center" vertical="center"/>
    </xf>
    <xf numFmtId="0" fontId="8" fillId="0" borderId="0" xfId="0" applyFont="1" applyAlignment="1" applyProtection="1">
      <alignment horizontal="center" vertical="center" wrapText="1"/>
      <protection locked="0"/>
    </xf>
    <xf numFmtId="0" fontId="11" fillId="0" borderId="0" xfId="0" applyFont="1" applyAlignment="1" applyProtection="1">
      <alignment horizontal="center" vertical="center" wrapText="1"/>
      <protection locked="0"/>
    </xf>
    <xf numFmtId="0" fontId="0" fillId="0" borderId="0" xfId="0" applyAlignment="1">
      <alignment horizontal="center" vertical="center"/>
    </xf>
    <xf numFmtId="164" fontId="8" fillId="0" borderId="10" xfId="0" applyNumberFormat="1" applyFont="1" applyBorder="1" applyAlignment="1">
      <alignment horizontal="center" vertical="center"/>
    </xf>
    <xf numFmtId="164" fontId="8" fillId="0" borderId="10" xfId="0" applyNumberFormat="1" applyFont="1" applyBorder="1" applyAlignment="1">
      <alignment horizontal="center" vertical="center" wrapText="1"/>
    </xf>
    <xf numFmtId="0" fontId="2" fillId="3" borderId="10" xfId="0" applyFont="1" applyFill="1" applyBorder="1" applyAlignment="1" applyProtection="1">
      <alignment horizontal="left"/>
      <protection locked="0"/>
    </xf>
    <xf numFmtId="0" fontId="1" fillId="0" borderId="12" xfId="0" applyFont="1" applyBorder="1" applyAlignment="1">
      <alignment horizontal="right"/>
    </xf>
    <xf numFmtId="0" fontId="2" fillId="3" borderId="10" xfId="0" applyFont="1" applyFill="1" applyBorder="1" applyAlignment="1" applyProtection="1">
      <alignment horizontal="left" vertical="top" wrapText="1"/>
      <protection locked="0"/>
    </xf>
    <xf numFmtId="0" fontId="0" fillId="3" borderId="10" xfId="0" applyFill="1" applyBorder="1" applyAlignment="1" applyProtection="1">
      <alignment horizontal="left"/>
      <protection locked="0"/>
    </xf>
    <xf numFmtId="0" fontId="2" fillId="3" borderId="13" xfId="0" applyFont="1" applyFill="1" applyBorder="1" applyAlignment="1" applyProtection="1">
      <alignment horizontal="left"/>
      <protection locked="0"/>
    </xf>
    <xf numFmtId="0" fontId="0" fillId="3" borderId="13" xfId="0" applyFill="1" applyBorder="1" applyAlignment="1" applyProtection="1">
      <alignment horizontal="left"/>
      <protection locked="0"/>
    </xf>
    <xf numFmtId="0" fontId="0" fillId="3" borderId="14" xfId="0" applyFill="1" applyBorder="1" applyAlignment="1" applyProtection="1">
      <alignment horizontal="left"/>
      <protection locked="0"/>
    </xf>
    <xf numFmtId="0" fontId="2" fillId="3" borderId="10" xfId="0" quotePrefix="1" applyFont="1" applyFill="1" applyBorder="1" applyAlignment="1" applyProtection="1">
      <alignment horizontal="left"/>
      <protection locked="0"/>
    </xf>
    <xf numFmtId="14" fontId="0" fillId="3" borderId="10" xfId="0" applyNumberFormat="1" applyFill="1" applyBorder="1" applyAlignment="1" applyProtection="1">
      <alignment horizontal="left"/>
      <protection locked="0"/>
    </xf>
    <xf numFmtId="165" fontId="0" fillId="3" borderId="10" xfId="0" applyNumberFormat="1" applyFill="1" applyBorder="1" applyAlignment="1" applyProtection="1">
      <alignment horizontal="left"/>
      <protection locked="0"/>
    </xf>
    <xf numFmtId="168" fontId="0" fillId="3" borderId="10" xfId="0" applyNumberFormat="1" applyFill="1" applyBorder="1" applyAlignment="1" applyProtection="1">
      <alignment horizontal="left"/>
      <protection locked="0"/>
    </xf>
    <xf numFmtId="0" fontId="2" fillId="0" borderId="10" xfId="0" applyFont="1" applyBorder="1" applyAlignment="1">
      <alignment horizontal="center"/>
    </xf>
    <xf numFmtId="0" fontId="0" fillId="0" borderId="10" xfId="0" applyBorder="1" applyAlignment="1">
      <alignment horizontal="center"/>
    </xf>
    <xf numFmtId="0" fontId="2" fillId="3" borderId="10" xfId="0" applyFont="1" applyFill="1" applyBorder="1" applyAlignment="1" applyProtection="1">
      <alignment horizontal="center"/>
      <protection locked="0"/>
    </xf>
    <xf numFmtId="0" fontId="0" fillId="3" borderId="10" xfId="0" applyFill="1" applyBorder="1" applyAlignment="1" applyProtection="1">
      <alignment horizontal="center"/>
      <protection locked="0"/>
    </xf>
    <xf numFmtId="1" fontId="0" fillId="3" borderId="10" xfId="0" applyNumberFormat="1" applyFill="1" applyBorder="1" applyAlignment="1" applyProtection="1">
      <alignment horizontal="center"/>
      <protection locked="0"/>
    </xf>
    <xf numFmtId="14" fontId="0" fillId="3" borderId="10" xfId="0" applyNumberFormat="1" applyFill="1" applyBorder="1" applyAlignment="1" applyProtection="1">
      <alignment horizontal="center"/>
      <protection locked="0"/>
    </xf>
    <xf numFmtId="0" fontId="15" fillId="0" borderId="0" xfId="0" applyFont="1" applyAlignment="1">
      <alignment horizontal="center"/>
    </xf>
    <xf numFmtId="0" fontId="6" fillId="0" borderId="0" xfId="0" applyFont="1" applyAlignment="1">
      <alignment horizontal="center"/>
    </xf>
    <xf numFmtId="0" fontId="16" fillId="0" borderId="0" xfId="0" applyFont="1" applyAlignment="1">
      <alignment horizontal="center"/>
    </xf>
    <xf numFmtId="0" fontId="5" fillId="0" borderId="0" xfId="0" applyFont="1" applyAlignment="1">
      <alignment horizontal="center" vertical="center"/>
    </xf>
    <xf numFmtId="0" fontId="5" fillId="0" borderId="10"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1" fontId="5" fillId="0" borderId="15" xfId="0" applyNumberFormat="1" applyFont="1" applyBorder="1" applyAlignment="1">
      <alignment horizontal="center"/>
    </xf>
    <xf numFmtId="1" fontId="5" fillId="0" borderId="16" xfId="0" applyNumberFormat="1" applyFont="1" applyBorder="1" applyAlignment="1">
      <alignment horizontal="center"/>
    </xf>
    <xf numFmtId="0" fontId="17" fillId="0" borderId="0" xfId="0" applyFont="1" applyAlignment="1">
      <alignment horizontal="center"/>
    </xf>
    <xf numFmtId="0" fontId="18" fillId="0" borderId="0" xfId="0" applyFont="1" applyAlignment="1">
      <alignment horizontal="left" vertical="top" wrapText="1"/>
    </xf>
    <xf numFmtId="0" fontId="5" fillId="0" borderId="0" xfId="0" applyFont="1" applyAlignment="1">
      <alignment horizontal="left"/>
    </xf>
    <xf numFmtId="0" fontId="9" fillId="0" borderId="0" xfId="0" applyFont="1" applyAlignment="1">
      <alignment horizontal="center"/>
    </xf>
    <xf numFmtId="0" fontId="11" fillId="0" borderId="0" xfId="0" applyFont="1" applyAlignment="1" applyProtection="1">
      <alignment horizontal="left" vertical="top" wrapText="1"/>
      <protection locked="0"/>
    </xf>
    <xf numFmtId="0" fontId="11" fillId="0" borderId="0" xfId="0" applyFont="1" applyAlignment="1" applyProtection="1">
      <alignment horizontal="left"/>
      <protection locked="0"/>
    </xf>
    <xf numFmtId="0" fontId="19" fillId="0" borderId="0" xfId="0" applyFont="1" applyAlignment="1">
      <alignment horizontal="center"/>
    </xf>
    <xf numFmtId="0" fontId="14"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7</xdr:row>
          <xdr:rowOff>133350</xdr:rowOff>
        </xdr:from>
        <xdr:to>
          <xdr:col>9</xdr:col>
          <xdr:colOff>523875</xdr:colOff>
          <xdr:row>10</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Transfer to Standard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342900</xdr:colOff>
      <xdr:row>0</xdr:row>
      <xdr:rowOff>161925</xdr:rowOff>
    </xdr:from>
    <xdr:to>
      <xdr:col>9</xdr:col>
      <xdr:colOff>533400</xdr:colOff>
      <xdr:row>4</xdr:row>
      <xdr:rowOff>257175</xdr:rowOff>
    </xdr:to>
    <xdr:pic>
      <xdr:nvPicPr>
        <xdr:cNvPr id="1103" name="Picture 1">
          <a:extLst>
            <a:ext uri="{FF2B5EF4-FFF2-40B4-BE49-F238E27FC236}">
              <a16:creationId xmlns:a16="http://schemas.microsoft.com/office/drawing/2014/main" id="{00000000-0008-0000-0200-00004F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61925"/>
          <a:ext cx="18383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0</xdr:row>
      <xdr:rowOff>180975</xdr:rowOff>
    </xdr:from>
    <xdr:to>
      <xdr:col>2</xdr:col>
      <xdr:colOff>438150</xdr:colOff>
      <xdr:row>4</xdr:row>
      <xdr:rowOff>123825</xdr:rowOff>
    </xdr:to>
    <xdr:pic>
      <xdr:nvPicPr>
        <xdr:cNvPr id="1104" name="Picture 2">
          <a:extLst>
            <a:ext uri="{FF2B5EF4-FFF2-40B4-BE49-F238E27FC236}">
              <a16:creationId xmlns:a16="http://schemas.microsoft.com/office/drawing/2014/main" id="{00000000-0008-0000-0200-000050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180975"/>
          <a:ext cx="1914525"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342900</xdr:colOff>
      <xdr:row>61</xdr:row>
      <xdr:rowOff>161925</xdr:rowOff>
    </xdr:from>
    <xdr:to>
      <xdr:col>9</xdr:col>
      <xdr:colOff>533400</xdr:colOff>
      <xdr:row>65</xdr:row>
      <xdr:rowOff>257175</xdr:rowOff>
    </xdr:to>
    <xdr:pic>
      <xdr:nvPicPr>
        <xdr:cNvPr id="1105" name="Picture 1">
          <a:extLst>
            <a:ext uri="{FF2B5EF4-FFF2-40B4-BE49-F238E27FC236}">
              <a16:creationId xmlns:a16="http://schemas.microsoft.com/office/drawing/2014/main" id="{00000000-0008-0000-0200-000051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11925300"/>
          <a:ext cx="18383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61</xdr:row>
      <xdr:rowOff>180975</xdr:rowOff>
    </xdr:from>
    <xdr:to>
      <xdr:col>2</xdr:col>
      <xdr:colOff>438150</xdr:colOff>
      <xdr:row>65</xdr:row>
      <xdr:rowOff>123825</xdr:rowOff>
    </xdr:to>
    <xdr:pic>
      <xdr:nvPicPr>
        <xdr:cNvPr id="1106" name="Picture 2">
          <a:extLst>
            <a:ext uri="{FF2B5EF4-FFF2-40B4-BE49-F238E27FC236}">
              <a16:creationId xmlns:a16="http://schemas.microsoft.com/office/drawing/2014/main" id="{00000000-0008-0000-0200-000052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11944350"/>
          <a:ext cx="1914525"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342900</xdr:colOff>
      <xdr:row>122</xdr:row>
      <xdr:rowOff>161925</xdr:rowOff>
    </xdr:from>
    <xdr:to>
      <xdr:col>9</xdr:col>
      <xdr:colOff>533400</xdr:colOff>
      <xdr:row>126</xdr:row>
      <xdr:rowOff>257175</xdr:rowOff>
    </xdr:to>
    <xdr:pic>
      <xdr:nvPicPr>
        <xdr:cNvPr id="1107" name="Picture 1">
          <a:extLst>
            <a:ext uri="{FF2B5EF4-FFF2-40B4-BE49-F238E27FC236}">
              <a16:creationId xmlns:a16="http://schemas.microsoft.com/office/drawing/2014/main" id="{00000000-0008-0000-0200-00005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23602950"/>
          <a:ext cx="18383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122</xdr:row>
      <xdr:rowOff>180975</xdr:rowOff>
    </xdr:from>
    <xdr:to>
      <xdr:col>2</xdr:col>
      <xdr:colOff>438150</xdr:colOff>
      <xdr:row>126</xdr:row>
      <xdr:rowOff>123825</xdr:rowOff>
    </xdr:to>
    <xdr:pic>
      <xdr:nvPicPr>
        <xdr:cNvPr id="1108" name="Picture 2">
          <a:extLst>
            <a:ext uri="{FF2B5EF4-FFF2-40B4-BE49-F238E27FC236}">
              <a16:creationId xmlns:a16="http://schemas.microsoft.com/office/drawing/2014/main" id="{00000000-0008-0000-0200-000054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23622000"/>
          <a:ext cx="1914525"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342900</xdr:colOff>
      <xdr:row>183</xdr:row>
      <xdr:rowOff>161925</xdr:rowOff>
    </xdr:from>
    <xdr:to>
      <xdr:col>9</xdr:col>
      <xdr:colOff>533400</xdr:colOff>
      <xdr:row>187</xdr:row>
      <xdr:rowOff>257175</xdr:rowOff>
    </xdr:to>
    <xdr:pic>
      <xdr:nvPicPr>
        <xdr:cNvPr id="1109" name="Picture 1">
          <a:extLst>
            <a:ext uri="{FF2B5EF4-FFF2-40B4-BE49-F238E27FC236}">
              <a16:creationId xmlns:a16="http://schemas.microsoft.com/office/drawing/2014/main" id="{00000000-0008-0000-0200-00005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96050" y="35280600"/>
          <a:ext cx="18383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183</xdr:row>
      <xdr:rowOff>180975</xdr:rowOff>
    </xdr:from>
    <xdr:to>
      <xdr:col>2</xdr:col>
      <xdr:colOff>438150</xdr:colOff>
      <xdr:row>187</xdr:row>
      <xdr:rowOff>123825</xdr:rowOff>
    </xdr:to>
    <xdr:pic>
      <xdr:nvPicPr>
        <xdr:cNvPr id="1110" name="Picture 2">
          <a:extLst>
            <a:ext uri="{FF2B5EF4-FFF2-40B4-BE49-F238E27FC236}">
              <a16:creationId xmlns:a16="http://schemas.microsoft.com/office/drawing/2014/main" id="{00000000-0008-0000-0200-000056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35299650"/>
          <a:ext cx="1914525"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104775</xdr:colOff>
      <xdr:row>244</xdr:row>
      <xdr:rowOff>180975</xdr:rowOff>
    </xdr:from>
    <xdr:ext cx="1914525" cy="942975"/>
    <xdr:pic>
      <xdr:nvPicPr>
        <xdr:cNvPr id="11" name="Picture 2">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36185475"/>
          <a:ext cx="1914525"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my.sharepoint.com/personal/kferrante_jgiquality_com/Documents/Kevin/DaqBook%20Blanks%20Current/DaqBook%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6">
          <cell r="A6">
            <v>0.19</v>
          </cell>
          <cell r="B6">
            <v>0.28999999999999998</v>
          </cell>
          <cell r="C6">
            <v>0.46</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5D877-5768-478C-927D-7D7B9932739E}">
  <dimension ref="A1:O101"/>
  <sheetViews>
    <sheetView workbookViewId="0">
      <selection activeCell="J24" sqref="J24:M29"/>
    </sheetView>
  </sheetViews>
  <sheetFormatPr defaultRowHeight="12.75" x14ac:dyDescent="0.2"/>
  <cols>
    <col min="2" max="2" width="10.140625" bestFit="1" customWidth="1"/>
  </cols>
  <sheetData>
    <row r="1" spans="1:15" x14ac:dyDescent="0.2">
      <c r="A1" s="15" t="s">
        <v>137</v>
      </c>
      <c r="B1" s="78">
        <v>45747</v>
      </c>
      <c r="C1" s="15"/>
      <c r="D1" s="15" t="s">
        <v>138</v>
      </c>
      <c r="E1" s="15" t="s">
        <v>144</v>
      </c>
    </row>
    <row r="2" spans="1:15" x14ac:dyDescent="0.2">
      <c r="A2" s="15" t="s">
        <v>139</v>
      </c>
      <c r="B2" s="15" t="s">
        <v>140</v>
      </c>
      <c r="C2" s="15"/>
      <c r="D2" s="15"/>
      <c r="E2" s="15"/>
    </row>
    <row r="4" spans="1:15" x14ac:dyDescent="0.2">
      <c r="A4" s="15" t="s">
        <v>141</v>
      </c>
    </row>
    <row r="5" spans="1:15" x14ac:dyDescent="0.2">
      <c r="A5" s="15" t="s">
        <v>142</v>
      </c>
    </row>
    <row r="7" spans="1:15" x14ac:dyDescent="0.2">
      <c r="A7" s="11" t="s">
        <v>9</v>
      </c>
      <c r="B7" s="12" t="s">
        <v>10</v>
      </c>
      <c r="C7" s="12" t="s">
        <v>11</v>
      </c>
      <c r="D7" s="12" t="s">
        <v>12</v>
      </c>
      <c r="E7" s="12" t="s">
        <v>13</v>
      </c>
      <c r="F7" s="12" t="s">
        <v>14</v>
      </c>
      <c r="G7" s="12" t="s">
        <v>15</v>
      </c>
      <c r="I7" s="11" t="s">
        <v>9</v>
      </c>
      <c r="J7" s="12">
        <v>25</v>
      </c>
      <c r="K7" s="12">
        <v>26</v>
      </c>
      <c r="L7" s="12">
        <v>27</v>
      </c>
      <c r="M7" s="12">
        <v>28</v>
      </c>
      <c r="N7" s="12">
        <v>29</v>
      </c>
      <c r="O7" s="12">
        <v>30</v>
      </c>
    </row>
    <row r="8" spans="1:15" x14ac:dyDescent="0.2">
      <c r="A8" s="11">
        <v>-100</v>
      </c>
      <c r="B8" s="79">
        <v>-99.8</v>
      </c>
      <c r="C8" s="72">
        <v>-99.9</v>
      </c>
      <c r="D8" s="72">
        <v>-99.8</v>
      </c>
      <c r="E8" s="72">
        <v>-99.9</v>
      </c>
      <c r="F8" s="72">
        <v>-100</v>
      </c>
      <c r="G8" s="72">
        <v>-99.9</v>
      </c>
      <c r="I8" s="11">
        <v>-100</v>
      </c>
      <c r="J8" s="72">
        <v>-99.9</v>
      </c>
      <c r="K8" s="72">
        <v>-100</v>
      </c>
      <c r="L8" s="72">
        <v>-100.2</v>
      </c>
      <c r="M8" s="72">
        <v>-100.1</v>
      </c>
      <c r="N8" s="72">
        <v>-100.2</v>
      </c>
      <c r="O8" s="72">
        <v>-100.2</v>
      </c>
    </row>
    <row r="9" spans="1:15" x14ac:dyDescent="0.2">
      <c r="A9" s="11">
        <v>-50</v>
      </c>
      <c r="B9" s="72">
        <v>-49.8</v>
      </c>
      <c r="C9" s="72">
        <v>-49.9</v>
      </c>
      <c r="D9" s="72">
        <v>-49.8</v>
      </c>
      <c r="E9" s="72">
        <v>-49.9</v>
      </c>
      <c r="F9" s="72">
        <v>-50</v>
      </c>
      <c r="G9" s="72">
        <v>-49.9</v>
      </c>
      <c r="I9" s="11">
        <v>-50</v>
      </c>
      <c r="J9" s="72">
        <v>-49.9</v>
      </c>
      <c r="K9" s="72">
        <v>-49.8</v>
      </c>
      <c r="L9" s="72">
        <v>-50.1</v>
      </c>
      <c r="M9" s="72">
        <v>-50.1</v>
      </c>
      <c r="N9" s="72">
        <v>-50.1</v>
      </c>
      <c r="O9" s="72">
        <v>-50</v>
      </c>
    </row>
    <row r="10" spans="1:15" x14ac:dyDescent="0.2">
      <c r="A10" s="11">
        <v>0</v>
      </c>
      <c r="B10" s="72">
        <v>-0.1</v>
      </c>
      <c r="C10" s="72">
        <v>0</v>
      </c>
      <c r="D10" s="72">
        <v>-0.2</v>
      </c>
      <c r="E10" s="79">
        <v>0</v>
      </c>
      <c r="F10" s="72">
        <v>0</v>
      </c>
      <c r="G10" s="72">
        <v>0</v>
      </c>
      <c r="I10" s="11">
        <v>0</v>
      </c>
      <c r="J10" s="72">
        <v>0</v>
      </c>
      <c r="K10" s="72">
        <v>0.1</v>
      </c>
      <c r="L10" s="72">
        <v>-0.1</v>
      </c>
      <c r="M10" s="72">
        <v>0</v>
      </c>
      <c r="N10" s="72">
        <v>0.1</v>
      </c>
      <c r="O10" s="72">
        <v>0.1</v>
      </c>
    </row>
    <row r="11" spans="1:15" x14ac:dyDescent="0.2">
      <c r="A11" s="11">
        <v>250</v>
      </c>
      <c r="B11" s="72">
        <v>249.8</v>
      </c>
      <c r="C11" s="72">
        <v>249.9</v>
      </c>
      <c r="D11" s="72">
        <v>249.9</v>
      </c>
      <c r="E11" s="72">
        <v>250</v>
      </c>
      <c r="F11" s="72">
        <v>249.9</v>
      </c>
      <c r="G11" s="72">
        <v>250</v>
      </c>
      <c r="I11" s="11">
        <v>250</v>
      </c>
      <c r="J11" s="72">
        <v>250.1</v>
      </c>
      <c r="K11" s="72">
        <v>250.1</v>
      </c>
      <c r="L11" s="72">
        <v>250.2</v>
      </c>
      <c r="M11" s="72">
        <v>250.1</v>
      </c>
      <c r="N11" s="72">
        <v>249.8</v>
      </c>
      <c r="O11" s="72">
        <v>249.9</v>
      </c>
    </row>
    <row r="12" spans="1:15" x14ac:dyDescent="0.2">
      <c r="A12" s="11">
        <v>500</v>
      </c>
      <c r="B12" s="72">
        <v>499.8</v>
      </c>
      <c r="C12" s="72">
        <v>499.9</v>
      </c>
      <c r="D12" s="72">
        <v>499.9</v>
      </c>
      <c r="E12" s="72">
        <v>499.9</v>
      </c>
      <c r="F12" s="72">
        <v>499.9</v>
      </c>
      <c r="G12" s="72">
        <v>499.9</v>
      </c>
      <c r="I12" s="11">
        <v>500</v>
      </c>
      <c r="J12" s="72">
        <v>500.1</v>
      </c>
      <c r="K12" s="72">
        <v>500.1</v>
      </c>
      <c r="L12" s="72">
        <v>500.2</v>
      </c>
      <c r="M12" s="72">
        <v>500.1</v>
      </c>
      <c r="N12" s="72">
        <v>499.9</v>
      </c>
      <c r="O12" s="72">
        <v>500</v>
      </c>
    </row>
    <row r="13" spans="1:15" x14ac:dyDescent="0.2">
      <c r="A13" s="11">
        <v>1000</v>
      </c>
      <c r="B13" s="72">
        <v>999.9</v>
      </c>
      <c r="C13" s="72">
        <v>999.8</v>
      </c>
      <c r="D13" s="72">
        <v>999.9</v>
      </c>
      <c r="E13" s="72">
        <v>999.9</v>
      </c>
      <c r="F13" s="72">
        <v>999.8</v>
      </c>
      <c r="G13" s="72">
        <v>999.9</v>
      </c>
      <c r="I13" s="11">
        <v>1000</v>
      </c>
      <c r="J13" s="72">
        <v>1000.2</v>
      </c>
      <c r="K13" s="72">
        <v>1000.1</v>
      </c>
      <c r="L13" s="72">
        <v>1000.3</v>
      </c>
      <c r="M13" s="72">
        <v>1000.2</v>
      </c>
      <c r="N13" s="72">
        <v>999.9</v>
      </c>
      <c r="O13" s="72">
        <v>1000</v>
      </c>
    </row>
    <row r="14" spans="1:15" x14ac:dyDescent="0.2">
      <c r="A14" s="14"/>
    </row>
    <row r="15" spans="1:15" x14ac:dyDescent="0.2">
      <c r="A15" s="11" t="s">
        <v>9</v>
      </c>
      <c r="B15" s="12">
        <v>7</v>
      </c>
      <c r="C15" s="12">
        <v>8</v>
      </c>
      <c r="D15" s="12">
        <v>9</v>
      </c>
      <c r="E15" s="12">
        <v>10</v>
      </c>
      <c r="F15" s="12">
        <v>11</v>
      </c>
      <c r="G15" s="12">
        <v>12</v>
      </c>
      <c r="I15" s="11" t="s">
        <v>9</v>
      </c>
      <c r="J15" s="12">
        <v>31</v>
      </c>
      <c r="K15" s="12">
        <v>32</v>
      </c>
      <c r="L15" s="12">
        <v>33</v>
      </c>
      <c r="M15" s="12">
        <v>34</v>
      </c>
      <c r="N15" s="12">
        <v>35</v>
      </c>
      <c r="O15" s="12">
        <v>36</v>
      </c>
    </row>
    <row r="16" spans="1:15" x14ac:dyDescent="0.2">
      <c r="A16" s="11">
        <v>-100</v>
      </c>
      <c r="B16" s="72">
        <v>-99.9</v>
      </c>
      <c r="C16" s="72">
        <v>-100</v>
      </c>
      <c r="D16" s="72">
        <v>-99.7</v>
      </c>
      <c r="E16" s="72">
        <v>-100.1</v>
      </c>
      <c r="F16" s="72">
        <v>-99.8</v>
      </c>
      <c r="G16" s="72">
        <v>-100.1</v>
      </c>
      <c r="I16" s="11">
        <v>-100</v>
      </c>
      <c r="J16" s="72">
        <v>-100.1</v>
      </c>
      <c r="K16" s="72">
        <v>-100</v>
      </c>
      <c r="L16" s="72">
        <v>-100.2</v>
      </c>
      <c r="M16" s="72">
        <v>-100.2</v>
      </c>
      <c r="N16" s="72">
        <v>-100.2</v>
      </c>
      <c r="O16" s="72">
        <v>-100.3</v>
      </c>
    </row>
    <row r="17" spans="1:15" x14ac:dyDescent="0.2">
      <c r="A17" s="11">
        <v>-50</v>
      </c>
      <c r="B17" s="72">
        <v>-50</v>
      </c>
      <c r="C17" s="72">
        <v>-50</v>
      </c>
      <c r="D17" s="72">
        <v>-49.7</v>
      </c>
      <c r="E17" s="72">
        <v>-50.1</v>
      </c>
      <c r="F17" s="72">
        <v>-49.8</v>
      </c>
      <c r="G17" s="72">
        <v>-50.1</v>
      </c>
      <c r="I17" s="11">
        <v>-50</v>
      </c>
      <c r="J17" s="72">
        <v>-49.9</v>
      </c>
      <c r="K17" s="72">
        <v>-50</v>
      </c>
      <c r="L17" s="72">
        <v>-50.1</v>
      </c>
      <c r="M17" s="72">
        <v>-50.2</v>
      </c>
      <c r="N17" s="72">
        <v>-50.1</v>
      </c>
      <c r="O17" s="72">
        <v>-50.2</v>
      </c>
    </row>
    <row r="18" spans="1:15" x14ac:dyDescent="0.2">
      <c r="A18" s="11">
        <v>0</v>
      </c>
      <c r="B18" s="72">
        <v>0</v>
      </c>
      <c r="C18" s="72">
        <v>0.1</v>
      </c>
      <c r="D18" s="72">
        <v>-0.3</v>
      </c>
      <c r="E18" s="72">
        <v>0.1</v>
      </c>
      <c r="F18" s="72">
        <v>-0.2</v>
      </c>
      <c r="G18" s="72">
        <v>-0.1</v>
      </c>
      <c r="I18" s="11">
        <v>0</v>
      </c>
      <c r="J18" s="72">
        <v>0.2</v>
      </c>
      <c r="K18" s="72">
        <v>0.2</v>
      </c>
      <c r="L18" s="72">
        <v>0.1</v>
      </c>
      <c r="M18" s="72">
        <v>0.1</v>
      </c>
      <c r="N18" s="72">
        <v>0.1</v>
      </c>
      <c r="O18" s="72">
        <v>0.1</v>
      </c>
    </row>
    <row r="19" spans="1:15" x14ac:dyDescent="0.2">
      <c r="A19" s="11">
        <v>250</v>
      </c>
      <c r="B19" s="72">
        <v>249.9</v>
      </c>
      <c r="C19" s="72">
        <v>249.9</v>
      </c>
      <c r="D19" s="72">
        <v>249.8</v>
      </c>
      <c r="E19" s="72">
        <v>249.9</v>
      </c>
      <c r="F19" s="72">
        <v>249.9</v>
      </c>
      <c r="G19" s="72">
        <v>249.8</v>
      </c>
      <c r="I19" s="11">
        <v>250</v>
      </c>
      <c r="J19" s="72">
        <v>250</v>
      </c>
      <c r="K19" s="72">
        <v>250.1</v>
      </c>
      <c r="L19" s="72">
        <v>249.8</v>
      </c>
      <c r="M19" s="72">
        <v>249.7</v>
      </c>
      <c r="N19" s="72">
        <v>249.8</v>
      </c>
      <c r="O19" s="72">
        <v>250</v>
      </c>
    </row>
    <row r="20" spans="1:15" x14ac:dyDescent="0.2">
      <c r="A20" s="11">
        <v>500</v>
      </c>
      <c r="B20" s="72">
        <v>499.8</v>
      </c>
      <c r="C20" s="72">
        <v>499.8</v>
      </c>
      <c r="D20" s="72">
        <v>499.8</v>
      </c>
      <c r="E20" s="72">
        <v>499.8</v>
      </c>
      <c r="F20" s="72">
        <v>499.9</v>
      </c>
      <c r="G20" s="72">
        <v>499.8</v>
      </c>
      <c r="I20" s="11">
        <v>500</v>
      </c>
      <c r="J20" s="72">
        <v>500.1</v>
      </c>
      <c r="K20" s="72">
        <v>500.1</v>
      </c>
      <c r="L20" s="72">
        <v>500</v>
      </c>
      <c r="M20" s="72">
        <v>500.1</v>
      </c>
      <c r="N20" s="72">
        <v>500</v>
      </c>
      <c r="O20" s="72">
        <v>500.2</v>
      </c>
    </row>
    <row r="21" spans="1:15" x14ac:dyDescent="0.2">
      <c r="A21" s="11">
        <v>1000</v>
      </c>
      <c r="B21" s="72">
        <v>999.6</v>
      </c>
      <c r="C21" s="72">
        <v>999.8</v>
      </c>
      <c r="D21" s="72">
        <v>999.9</v>
      </c>
      <c r="E21" s="72">
        <v>999.7</v>
      </c>
      <c r="F21" s="72">
        <v>999.8</v>
      </c>
      <c r="G21" s="72">
        <v>999.8</v>
      </c>
      <c r="I21" s="11">
        <v>1000</v>
      </c>
      <c r="J21" s="72">
        <v>1000</v>
      </c>
      <c r="K21" s="72">
        <v>1000.2</v>
      </c>
      <c r="L21" s="72">
        <v>1000.1</v>
      </c>
      <c r="M21" s="72">
        <v>1000.3</v>
      </c>
      <c r="N21" s="72">
        <v>1000.1</v>
      </c>
      <c r="O21" s="72">
        <v>1000.2</v>
      </c>
    </row>
    <row r="22" spans="1:15" x14ac:dyDescent="0.2">
      <c r="A22" s="14"/>
    </row>
    <row r="23" spans="1:15" x14ac:dyDescent="0.2">
      <c r="A23" s="11" t="s">
        <v>9</v>
      </c>
      <c r="B23" s="12">
        <v>13</v>
      </c>
      <c r="C23" s="12">
        <v>14</v>
      </c>
      <c r="D23" s="12">
        <v>15</v>
      </c>
      <c r="E23" s="12">
        <v>16</v>
      </c>
      <c r="F23" s="12">
        <v>17</v>
      </c>
      <c r="G23" s="12">
        <v>18</v>
      </c>
      <c r="I23" s="11" t="s">
        <v>9</v>
      </c>
      <c r="J23" s="12">
        <v>37</v>
      </c>
      <c r="K23" s="12">
        <v>38</v>
      </c>
      <c r="L23" s="12">
        <v>39</v>
      </c>
      <c r="M23" s="12">
        <v>40</v>
      </c>
    </row>
    <row r="24" spans="1:15" x14ac:dyDescent="0.2">
      <c r="A24" s="11">
        <v>-100</v>
      </c>
      <c r="B24" s="72">
        <v>-100</v>
      </c>
      <c r="C24" s="72">
        <v>-100.1</v>
      </c>
      <c r="D24" s="72">
        <v>-100.1</v>
      </c>
      <c r="E24" s="72">
        <v>-100</v>
      </c>
      <c r="F24" s="72">
        <v>-100.2</v>
      </c>
      <c r="G24" s="72">
        <v>-99.8</v>
      </c>
      <c r="I24" s="11">
        <v>-100</v>
      </c>
      <c r="J24" s="72">
        <v>-100.5</v>
      </c>
      <c r="K24" s="72">
        <v>-100.1</v>
      </c>
      <c r="L24" s="72">
        <v>-99.8</v>
      </c>
      <c r="M24" s="72">
        <v>-99.9</v>
      </c>
    </row>
    <row r="25" spans="1:15" x14ac:dyDescent="0.2">
      <c r="A25" s="11">
        <v>-50</v>
      </c>
      <c r="B25" s="72">
        <v>-50.1</v>
      </c>
      <c r="C25" s="72">
        <v>-50.1</v>
      </c>
      <c r="D25" s="72">
        <v>-50.1</v>
      </c>
      <c r="E25" s="72">
        <v>-49.9</v>
      </c>
      <c r="F25" s="72">
        <v>-49.9</v>
      </c>
      <c r="G25" s="72">
        <v>-49.9</v>
      </c>
      <c r="I25" s="11">
        <v>-50</v>
      </c>
      <c r="J25" s="72">
        <v>-50.3</v>
      </c>
      <c r="K25" s="72">
        <v>-49.8</v>
      </c>
      <c r="L25" s="72">
        <v>-50</v>
      </c>
      <c r="M25" s="72">
        <v>-50</v>
      </c>
    </row>
    <row r="26" spans="1:15" x14ac:dyDescent="0.2">
      <c r="A26" s="11">
        <v>0</v>
      </c>
      <c r="B26" s="72">
        <v>0.1</v>
      </c>
      <c r="C26" s="72">
        <v>-0.2</v>
      </c>
      <c r="D26" s="72">
        <v>-0.2</v>
      </c>
      <c r="E26" s="72">
        <v>0.1</v>
      </c>
      <c r="F26" s="72">
        <v>-0.1</v>
      </c>
      <c r="G26" s="72">
        <v>0.1</v>
      </c>
      <c r="I26" s="11">
        <v>0</v>
      </c>
      <c r="J26" s="72">
        <v>0.3</v>
      </c>
      <c r="K26" s="72">
        <v>0.2</v>
      </c>
      <c r="L26" s="72">
        <v>0.2</v>
      </c>
      <c r="M26" s="72">
        <v>0.2</v>
      </c>
    </row>
    <row r="27" spans="1:15" x14ac:dyDescent="0.2">
      <c r="A27" s="11">
        <v>250</v>
      </c>
      <c r="B27" s="72">
        <v>250.1</v>
      </c>
      <c r="C27" s="72">
        <v>249.8</v>
      </c>
      <c r="D27" s="72">
        <v>249.8</v>
      </c>
      <c r="E27" s="72">
        <v>250.2</v>
      </c>
      <c r="F27" s="72">
        <v>250</v>
      </c>
      <c r="G27" s="72">
        <v>250.1</v>
      </c>
      <c r="I27" s="11">
        <v>250</v>
      </c>
      <c r="J27" s="72">
        <v>250.3</v>
      </c>
      <c r="K27" s="72">
        <v>250.2</v>
      </c>
      <c r="L27" s="72">
        <v>250.3</v>
      </c>
      <c r="M27" s="72">
        <v>250.1</v>
      </c>
    </row>
    <row r="28" spans="1:15" x14ac:dyDescent="0.2">
      <c r="A28" s="11">
        <v>500</v>
      </c>
      <c r="B28" s="72">
        <v>500.1</v>
      </c>
      <c r="C28" s="72">
        <v>499.8</v>
      </c>
      <c r="D28" s="72">
        <v>499.7</v>
      </c>
      <c r="E28" s="72">
        <v>500.1</v>
      </c>
      <c r="F28" s="72">
        <v>500</v>
      </c>
      <c r="G28" s="72">
        <v>500.1</v>
      </c>
      <c r="I28" s="11">
        <v>500</v>
      </c>
      <c r="J28" s="72">
        <v>500.4</v>
      </c>
      <c r="K28" s="72">
        <v>500.3</v>
      </c>
      <c r="L28" s="72">
        <v>500</v>
      </c>
      <c r="M28" s="72">
        <v>500.1</v>
      </c>
    </row>
    <row r="29" spans="1:15" x14ac:dyDescent="0.2">
      <c r="A29" s="11">
        <v>1000</v>
      </c>
      <c r="B29" s="72">
        <v>1000.1</v>
      </c>
      <c r="C29" s="72">
        <v>999.8</v>
      </c>
      <c r="D29" s="72">
        <v>999.7</v>
      </c>
      <c r="E29" s="72">
        <v>1000.1</v>
      </c>
      <c r="F29" s="72">
        <v>1000</v>
      </c>
      <c r="G29" s="72">
        <v>1000.1</v>
      </c>
      <c r="I29" s="11">
        <v>1000</v>
      </c>
      <c r="J29" s="72">
        <v>1000.5</v>
      </c>
      <c r="K29" s="72">
        <v>1000.3</v>
      </c>
      <c r="L29" s="72">
        <v>1000.1</v>
      </c>
      <c r="M29" s="72">
        <v>1000.1</v>
      </c>
    </row>
    <row r="30" spans="1:15" x14ac:dyDescent="0.2">
      <c r="A30" s="11"/>
      <c r="B30" s="13"/>
      <c r="C30" s="13"/>
      <c r="D30" s="13"/>
      <c r="E30" s="13"/>
      <c r="F30" s="13"/>
      <c r="G30" s="13"/>
    </row>
    <row r="31" spans="1:15" x14ac:dyDescent="0.2">
      <c r="A31" s="11" t="s">
        <v>9</v>
      </c>
      <c r="B31" s="12">
        <v>19</v>
      </c>
      <c r="C31" s="12">
        <v>20</v>
      </c>
      <c r="D31" s="12">
        <v>21</v>
      </c>
      <c r="E31" s="12">
        <v>22</v>
      </c>
      <c r="F31" s="12">
        <v>23</v>
      </c>
      <c r="G31" s="12">
        <v>24</v>
      </c>
    </row>
    <row r="32" spans="1:15" x14ac:dyDescent="0.2">
      <c r="A32" s="11">
        <v>-100</v>
      </c>
      <c r="B32" s="72">
        <v>-100.1</v>
      </c>
      <c r="C32" s="72">
        <v>-100.1</v>
      </c>
      <c r="D32" s="72">
        <v>-100.1</v>
      </c>
      <c r="E32" s="72">
        <v>-100</v>
      </c>
      <c r="F32" s="72">
        <v>-100.2</v>
      </c>
      <c r="G32" s="72">
        <v>-99.8</v>
      </c>
    </row>
    <row r="33" spans="1:8" x14ac:dyDescent="0.2">
      <c r="A33" s="11">
        <v>-50</v>
      </c>
      <c r="B33" s="72">
        <v>-49.9</v>
      </c>
      <c r="C33" s="72">
        <v>-50.1</v>
      </c>
      <c r="D33" s="72">
        <v>-49.9</v>
      </c>
      <c r="E33" s="72">
        <v>-49.9</v>
      </c>
      <c r="F33" s="72">
        <v>-50.2</v>
      </c>
      <c r="G33" s="72">
        <v>-49.8</v>
      </c>
    </row>
    <row r="34" spans="1:8" x14ac:dyDescent="0.2">
      <c r="A34" s="11">
        <v>0</v>
      </c>
      <c r="B34" s="72">
        <v>0</v>
      </c>
      <c r="C34" s="72">
        <v>-0.1</v>
      </c>
      <c r="D34" s="72">
        <v>0</v>
      </c>
      <c r="E34" s="72">
        <v>0.1</v>
      </c>
      <c r="F34" s="72">
        <v>-0.1</v>
      </c>
      <c r="G34" s="72">
        <v>0</v>
      </c>
    </row>
    <row r="35" spans="1:8" x14ac:dyDescent="0.2">
      <c r="A35" s="11">
        <v>250</v>
      </c>
      <c r="B35" s="72">
        <v>250</v>
      </c>
      <c r="C35" s="72">
        <v>249.9</v>
      </c>
      <c r="D35" s="72">
        <v>250.1</v>
      </c>
      <c r="E35" s="72">
        <v>250.1</v>
      </c>
      <c r="F35" s="72">
        <v>249.9</v>
      </c>
      <c r="G35" s="72">
        <v>250.1</v>
      </c>
    </row>
    <row r="36" spans="1:8" x14ac:dyDescent="0.2">
      <c r="A36" s="11">
        <v>500</v>
      </c>
      <c r="B36" s="72">
        <v>499.9</v>
      </c>
      <c r="C36" s="72">
        <v>499.8</v>
      </c>
      <c r="D36" s="72">
        <v>500.1</v>
      </c>
      <c r="E36" s="72">
        <v>500.1</v>
      </c>
      <c r="F36" s="72">
        <v>499.9</v>
      </c>
      <c r="G36" s="72">
        <v>499.9</v>
      </c>
    </row>
    <row r="37" spans="1:8" x14ac:dyDescent="0.2">
      <c r="A37" s="11">
        <v>1000</v>
      </c>
      <c r="B37" s="72">
        <v>1000</v>
      </c>
      <c r="C37" s="72">
        <v>999.7</v>
      </c>
      <c r="D37" s="72">
        <v>1000.2</v>
      </c>
      <c r="E37" s="72">
        <v>1000.1</v>
      </c>
      <c r="F37" s="72">
        <v>999.9</v>
      </c>
      <c r="G37" s="72">
        <v>999.8</v>
      </c>
    </row>
    <row r="38" spans="1:8" x14ac:dyDescent="0.2">
      <c r="A38" s="11"/>
      <c r="B38" s="13"/>
      <c r="C38" s="13"/>
      <c r="D38" s="13"/>
      <c r="E38" s="13"/>
      <c r="F38" s="13"/>
      <c r="G38" s="13"/>
    </row>
    <row r="40" spans="1:8" x14ac:dyDescent="0.2">
      <c r="A40" t="s">
        <v>0</v>
      </c>
      <c r="B40" s="2" t="s">
        <v>16</v>
      </c>
      <c r="C40" s="2" t="s">
        <v>16</v>
      </c>
      <c r="D40" s="2" t="s">
        <v>16</v>
      </c>
      <c r="E40" s="2" t="s">
        <v>16</v>
      </c>
      <c r="F40" s="2" t="s">
        <v>16</v>
      </c>
      <c r="G40" s="2" t="s">
        <v>16</v>
      </c>
      <c r="H40" s="1" t="s">
        <v>1</v>
      </c>
    </row>
    <row r="41" spans="1:8" x14ac:dyDescent="0.2">
      <c r="A41" s="3"/>
      <c r="B41" t="s">
        <v>17</v>
      </c>
      <c r="C41" t="s">
        <v>18</v>
      </c>
      <c r="D41" t="s">
        <v>19</v>
      </c>
      <c r="E41" t="s">
        <v>20</v>
      </c>
      <c r="F41" t="s">
        <v>21</v>
      </c>
      <c r="G41" s="7" t="s">
        <v>22</v>
      </c>
      <c r="H41" t="s">
        <v>2</v>
      </c>
    </row>
    <row r="42" spans="1:8" x14ac:dyDescent="0.2">
      <c r="A42" s="17">
        <v>-100</v>
      </c>
      <c r="B42" s="16">
        <f t="shared" ref="B42:G47" si="0">B8</f>
        <v>-99.8</v>
      </c>
      <c r="C42" s="16">
        <f t="shared" si="0"/>
        <v>-99.9</v>
      </c>
      <c r="D42" s="16">
        <f t="shared" si="0"/>
        <v>-99.8</v>
      </c>
      <c r="E42" s="16">
        <f t="shared" si="0"/>
        <v>-99.9</v>
      </c>
      <c r="F42" s="16">
        <f t="shared" si="0"/>
        <v>-100</v>
      </c>
      <c r="G42" s="16">
        <f t="shared" si="0"/>
        <v>-99.9</v>
      </c>
    </row>
    <row r="43" spans="1:8" x14ac:dyDescent="0.2">
      <c r="A43" s="17">
        <v>-50</v>
      </c>
      <c r="B43" s="16">
        <f t="shared" si="0"/>
        <v>-49.8</v>
      </c>
      <c r="C43" s="16">
        <f t="shared" si="0"/>
        <v>-49.9</v>
      </c>
      <c r="D43" s="16">
        <f t="shared" si="0"/>
        <v>-49.8</v>
      </c>
      <c r="E43" s="16">
        <f t="shared" si="0"/>
        <v>-49.9</v>
      </c>
      <c r="F43" s="16">
        <f t="shared" si="0"/>
        <v>-50</v>
      </c>
      <c r="G43" s="16">
        <f t="shared" si="0"/>
        <v>-49.9</v>
      </c>
    </row>
    <row r="44" spans="1:8" x14ac:dyDescent="0.2">
      <c r="A44" s="17">
        <v>0</v>
      </c>
      <c r="B44" s="16">
        <f t="shared" si="0"/>
        <v>-0.1</v>
      </c>
      <c r="C44" s="16">
        <f t="shared" si="0"/>
        <v>0</v>
      </c>
      <c r="D44" s="16">
        <f t="shared" si="0"/>
        <v>-0.2</v>
      </c>
      <c r="E44" s="16">
        <f t="shared" si="0"/>
        <v>0</v>
      </c>
      <c r="F44" s="16">
        <f t="shared" si="0"/>
        <v>0</v>
      </c>
      <c r="G44" s="16">
        <f t="shared" si="0"/>
        <v>0</v>
      </c>
    </row>
    <row r="45" spans="1:8" x14ac:dyDescent="0.2">
      <c r="A45" s="17">
        <v>250</v>
      </c>
      <c r="B45" s="16">
        <f t="shared" si="0"/>
        <v>249.8</v>
      </c>
      <c r="C45" s="16">
        <f t="shared" si="0"/>
        <v>249.9</v>
      </c>
      <c r="D45" s="16">
        <f t="shared" si="0"/>
        <v>249.9</v>
      </c>
      <c r="E45" s="16">
        <f t="shared" si="0"/>
        <v>250</v>
      </c>
      <c r="F45" s="16">
        <f t="shared" si="0"/>
        <v>249.9</v>
      </c>
      <c r="G45" s="16">
        <f t="shared" si="0"/>
        <v>250</v>
      </c>
    </row>
    <row r="46" spans="1:8" x14ac:dyDescent="0.2">
      <c r="A46" s="17">
        <v>500</v>
      </c>
      <c r="B46" s="16">
        <f t="shared" si="0"/>
        <v>499.8</v>
      </c>
      <c r="C46" s="16">
        <f t="shared" si="0"/>
        <v>499.9</v>
      </c>
      <c r="D46" s="16">
        <f t="shared" si="0"/>
        <v>499.9</v>
      </c>
      <c r="E46" s="16">
        <f t="shared" si="0"/>
        <v>499.9</v>
      </c>
      <c r="F46" s="16">
        <f t="shared" si="0"/>
        <v>499.9</v>
      </c>
      <c r="G46" s="16">
        <f t="shared" si="0"/>
        <v>499.9</v>
      </c>
    </row>
    <row r="47" spans="1:8" x14ac:dyDescent="0.2">
      <c r="A47" s="17">
        <v>1000</v>
      </c>
      <c r="B47" s="16">
        <f t="shared" si="0"/>
        <v>999.9</v>
      </c>
      <c r="C47" s="16">
        <f t="shared" si="0"/>
        <v>999.8</v>
      </c>
      <c r="D47" s="16">
        <f t="shared" si="0"/>
        <v>999.9</v>
      </c>
      <c r="E47" s="16">
        <f t="shared" si="0"/>
        <v>999.9</v>
      </c>
      <c r="F47" s="16">
        <f t="shared" si="0"/>
        <v>999.8</v>
      </c>
      <c r="G47" s="16">
        <f t="shared" si="0"/>
        <v>999.9</v>
      </c>
    </row>
    <row r="48" spans="1:8" x14ac:dyDescent="0.2">
      <c r="A48" s="6"/>
      <c r="G48" s="7"/>
    </row>
    <row r="49" spans="1:8" x14ac:dyDescent="0.2">
      <c r="A49" s="6"/>
      <c r="B49" t="s">
        <v>23</v>
      </c>
      <c r="C49" t="s">
        <v>24</v>
      </c>
      <c r="D49" t="s">
        <v>25</v>
      </c>
      <c r="E49" t="s">
        <v>26</v>
      </c>
      <c r="F49" t="s">
        <v>27</v>
      </c>
      <c r="G49" s="7" t="s">
        <v>28</v>
      </c>
    </row>
    <row r="50" spans="1:8" x14ac:dyDescent="0.2">
      <c r="A50" s="17">
        <v>-100</v>
      </c>
      <c r="B50" s="16">
        <f t="shared" ref="B50:G55" si="1">B16</f>
        <v>-99.9</v>
      </c>
      <c r="C50" s="16">
        <f t="shared" si="1"/>
        <v>-100</v>
      </c>
      <c r="D50" s="16">
        <f t="shared" si="1"/>
        <v>-99.7</v>
      </c>
      <c r="E50" s="16">
        <f t="shared" si="1"/>
        <v>-100.1</v>
      </c>
      <c r="F50" s="16">
        <f t="shared" si="1"/>
        <v>-99.8</v>
      </c>
      <c r="G50" s="16">
        <f t="shared" si="1"/>
        <v>-100.1</v>
      </c>
    </row>
    <row r="51" spans="1:8" x14ac:dyDescent="0.2">
      <c r="A51" s="17">
        <v>-50</v>
      </c>
      <c r="B51" s="16">
        <f t="shared" si="1"/>
        <v>-50</v>
      </c>
      <c r="C51" s="16">
        <f t="shared" si="1"/>
        <v>-50</v>
      </c>
      <c r="D51" s="16">
        <f t="shared" si="1"/>
        <v>-49.7</v>
      </c>
      <c r="E51" s="16">
        <f t="shared" si="1"/>
        <v>-50.1</v>
      </c>
      <c r="F51" s="16">
        <f t="shared" si="1"/>
        <v>-49.8</v>
      </c>
      <c r="G51" s="16">
        <f t="shared" si="1"/>
        <v>-50.1</v>
      </c>
    </row>
    <row r="52" spans="1:8" x14ac:dyDescent="0.2">
      <c r="A52" s="17">
        <v>0</v>
      </c>
      <c r="B52" s="16">
        <f t="shared" si="1"/>
        <v>0</v>
      </c>
      <c r="C52" s="16">
        <f t="shared" si="1"/>
        <v>0.1</v>
      </c>
      <c r="D52" s="16">
        <f t="shared" si="1"/>
        <v>-0.3</v>
      </c>
      <c r="E52" s="16">
        <f t="shared" si="1"/>
        <v>0.1</v>
      </c>
      <c r="F52" s="16">
        <f t="shared" si="1"/>
        <v>-0.2</v>
      </c>
      <c r="G52" s="16">
        <f t="shared" si="1"/>
        <v>-0.1</v>
      </c>
    </row>
    <row r="53" spans="1:8" x14ac:dyDescent="0.2">
      <c r="A53" s="17">
        <v>250</v>
      </c>
      <c r="B53" s="16">
        <f t="shared" si="1"/>
        <v>249.9</v>
      </c>
      <c r="C53" s="16">
        <f t="shared" si="1"/>
        <v>249.9</v>
      </c>
      <c r="D53" s="16">
        <f t="shared" si="1"/>
        <v>249.8</v>
      </c>
      <c r="E53" s="16">
        <f t="shared" si="1"/>
        <v>249.9</v>
      </c>
      <c r="F53" s="16">
        <f t="shared" si="1"/>
        <v>249.9</v>
      </c>
      <c r="G53" s="16">
        <f t="shared" si="1"/>
        <v>249.8</v>
      </c>
    </row>
    <row r="54" spans="1:8" x14ac:dyDescent="0.2">
      <c r="A54" s="17">
        <v>500</v>
      </c>
      <c r="B54" s="16">
        <f t="shared" si="1"/>
        <v>499.8</v>
      </c>
      <c r="C54" s="16">
        <f t="shared" si="1"/>
        <v>499.8</v>
      </c>
      <c r="D54" s="16">
        <f t="shared" si="1"/>
        <v>499.8</v>
      </c>
      <c r="E54" s="16">
        <f t="shared" si="1"/>
        <v>499.8</v>
      </c>
      <c r="F54" s="16">
        <f t="shared" si="1"/>
        <v>499.9</v>
      </c>
      <c r="G54" s="16">
        <f t="shared" si="1"/>
        <v>499.8</v>
      </c>
    </row>
    <row r="55" spans="1:8" x14ac:dyDescent="0.2">
      <c r="A55" s="17">
        <v>1000</v>
      </c>
      <c r="B55" s="16">
        <f t="shared" si="1"/>
        <v>999.6</v>
      </c>
      <c r="C55" s="16">
        <f t="shared" si="1"/>
        <v>999.8</v>
      </c>
      <c r="D55" s="16">
        <f t="shared" si="1"/>
        <v>999.9</v>
      </c>
      <c r="E55" s="16">
        <f t="shared" si="1"/>
        <v>999.7</v>
      </c>
      <c r="F55" s="16">
        <f t="shared" si="1"/>
        <v>999.8</v>
      </c>
      <c r="G55" s="16">
        <f t="shared" si="1"/>
        <v>999.8</v>
      </c>
    </row>
    <row r="56" spans="1:8" x14ac:dyDescent="0.2">
      <c r="A56" s="17"/>
      <c r="B56" s="16"/>
      <c r="C56" s="16"/>
      <c r="D56" s="16"/>
      <c r="E56" s="16"/>
      <c r="F56" s="16"/>
      <c r="G56" s="16"/>
    </row>
    <row r="57" spans="1:8" x14ac:dyDescent="0.2">
      <c r="A57" s="17"/>
      <c r="B57" s="16"/>
      <c r="C57" s="16"/>
      <c r="D57" s="16"/>
      <c r="E57" s="16"/>
      <c r="F57" s="16"/>
      <c r="G57" s="16"/>
    </row>
    <row r="58" spans="1:8" x14ac:dyDescent="0.2">
      <c r="A58" s="6"/>
      <c r="G58" s="7"/>
    </row>
    <row r="59" spans="1:8" x14ac:dyDescent="0.2">
      <c r="A59" s="3"/>
      <c r="B59" s="4" t="s">
        <v>29</v>
      </c>
      <c r="C59" s="4" t="s">
        <v>30</v>
      </c>
      <c r="D59" s="4" t="s">
        <v>31</v>
      </c>
      <c r="E59" s="4" t="s">
        <v>32</v>
      </c>
      <c r="F59" s="4" t="s">
        <v>33</v>
      </c>
      <c r="G59" s="5" t="s">
        <v>34</v>
      </c>
      <c r="H59" t="s">
        <v>3</v>
      </c>
    </row>
    <row r="60" spans="1:8" x14ac:dyDescent="0.2">
      <c r="A60" s="17">
        <v>-100</v>
      </c>
      <c r="B60" s="16">
        <f t="shared" ref="B60:G65" si="2">B24</f>
        <v>-100</v>
      </c>
      <c r="C60" s="16">
        <f t="shared" si="2"/>
        <v>-100.1</v>
      </c>
      <c r="D60" s="16">
        <f t="shared" si="2"/>
        <v>-100.1</v>
      </c>
      <c r="E60" s="16">
        <f t="shared" si="2"/>
        <v>-100</v>
      </c>
      <c r="F60" s="16">
        <f t="shared" si="2"/>
        <v>-100.2</v>
      </c>
      <c r="G60" s="16">
        <f t="shared" si="2"/>
        <v>-99.8</v>
      </c>
    </row>
    <row r="61" spans="1:8" x14ac:dyDescent="0.2">
      <c r="A61" s="17">
        <v>-50</v>
      </c>
      <c r="B61" s="16">
        <f t="shared" si="2"/>
        <v>-50.1</v>
      </c>
      <c r="C61" s="16">
        <f t="shared" si="2"/>
        <v>-50.1</v>
      </c>
      <c r="D61" s="16">
        <f t="shared" si="2"/>
        <v>-50.1</v>
      </c>
      <c r="E61" s="16">
        <f t="shared" si="2"/>
        <v>-49.9</v>
      </c>
      <c r="F61" s="16">
        <f t="shared" si="2"/>
        <v>-49.9</v>
      </c>
      <c r="G61" s="16">
        <f t="shared" si="2"/>
        <v>-49.9</v>
      </c>
    </row>
    <row r="62" spans="1:8" x14ac:dyDescent="0.2">
      <c r="A62" s="17">
        <v>0</v>
      </c>
      <c r="B62" s="16">
        <f t="shared" si="2"/>
        <v>0.1</v>
      </c>
      <c r="C62" s="16">
        <f t="shared" si="2"/>
        <v>-0.2</v>
      </c>
      <c r="D62" s="16">
        <f t="shared" si="2"/>
        <v>-0.2</v>
      </c>
      <c r="E62" s="16">
        <f t="shared" si="2"/>
        <v>0.1</v>
      </c>
      <c r="F62" s="16">
        <f t="shared" si="2"/>
        <v>-0.1</v>
      </c>
      <c r="G62" s="16">
        <f t="shared" si="2"/>
        <v>0.1</v>
      </c>
    </row>
    <row r="63" spans="1:8" x14ac:dyDescent="0.2">
      <c r="A63" s="17">
        <v>250</v>
      </c>
      <c r="B63" s="16">
        <f t="shared" si="2"/>
        <v>250.1</v>
      </c>
      <c r="C63" s="16">
        <f t="shared" si="2"/>
        <v>249.8</v>
      </c>
      <c r="D63" s="16">
        <f t="shared" si="2"/>
        <v>249.8</v>
      </c>
      <c r="E63" s="16">
        <f t="shared" si="2"/>
        <v>250.2</v>
      </c>
      <c r="F63" s="16">
        <f t="shared" si="2"/>
        <v>250</v>
      </c>
      <c r="G63" s="16">
        <f t="shared" si="2"/>
        <v>250.1</v>
      </c>
    </row>
    <row r="64" spans="1:8" x14ac:dyDescent="0.2">
      <c r="A64" s="17">
        <v>500</v>
      </c>
      <c r="B64" s="16">
        <f t="shared" si="2"/>
        <v>500.1</v>
      </c>
      <c r="C64" s="16">
        <f t="shared" si="2"/>
        <v>499.8</v>
      </c>
      <c r="D64" s="16">
        <f t="shared" si="2"/>
        <v>499.7</v>
      </c>
      <c r="E64" s="16">
        <f t="shared" si="2"/>
        <v>500.1</v>
      </c>
      <c r="F64" s="16">
        <f t="shared" si="2"/>
        <v>500</v>
      </c>
      <c r="G64" s="16">
        <f t="shared" si="2"/>
        <v>500.1</v>
      </c>
    </row>
    <row r="65" spans="1:8" x14ac:dyDescent="0.2">
      <c r="A65" s="17">
        <v>1000</v>
      </c>
      <c r="B65" s="16">
        <f t="shared" si="2"/>
        <v>1000.1</v>
      </c>
      <c r="C65" s="16">
        <f t="shared" si="2"/>
        <v>999.8</v>
      </c>
      <c r="D65" s="16">
        <f t="shared" si="2"/>
        <v>999.7</v>
      </c>
      <c r="E65" s="16">
        <f t="shared" si="2"/>
        <v>1000.1</v>
      </c>
      <c r="F65" s="16">
        <f t="shared" si="2"/>
        <v>1000</v>
      </c>
      <c r="G65" s="16">
        <f t="shared" si="2"/>
        <v>1000.1</v>
      </c>
    </row>
    <row r="66" spans="1:8" x14ac:dyDescent="0.2">
      <c r="A66" s="6"/>
      <c r="G66" s="7"/>
    </row>
    <row r="67" spans="1:8" x14ac:dyDescent="0.2">
      <c r="A67" s="6"/>
      <c r="B67" t="s">
        <v>35</v>
      </c>
      <c r="C67" t="s">
        <v>36</v>
      </c>
      <c r="D67" t="s">
        <v>37</v>
      </c>
      <c r="E67" t="s">
        <v>38</v>
      </c>
      <c r="F67" t="s">
        <v>39</v>
      </c>
      <c r="G67" s="7" t="s">
        <v>40</v>
      </c>
    </row>
    <row r="68" spans="1:8" x14ac:dyDescent="0.2">
      <c r="A68" s="17">
        <v>-100</v>
      </c>
      <c r="B68" s="16">
        <f t="shared" ref="B68:G73" si="3">B32</f>
        <v>-100.1</v>
      </c>
      <c r="C68" s="16">
        <f t="shared" si="3"/>
        <v>-100.1</v>
      </c>
      <c r="D68" s="16">
        <f t="shared" si="3"/>
        <v>-100.1</v>
      </c>
      <c r="E68" s="16">
        <f t="shared" si="3"/>
        <v>-100</v>
      </c>
      <c r="F68" s="16">
        <f t="shared" si="3"/>
        <v>-100.2</v>
      </c>
      <c r="G68" s="16">
        <f t="shared" si="3"/>
        <v>-99.8</v>
      </c>
    </row>
    <row r="69" spans="1:8" x14ac:dyDescent="0.2">
      <c r="A69" s="17">
        <v>-50</v>
      </c>
      <c r="B69" s="16">
        <f t="shared" si="3"/>
        <v>-49.9</v>
      </c>
      <c r="C69" s="16">
        <f t="shared" si="3"/>
        <v>-50.1</v>
      </c>
      <c r="D69" s="16">
        <f t="shared" si="3"/>
        <v>-49.9</v>
      </c>
      <c r="E69" s="16">
        <f t="shared" si="3"/>
        <v>-49.9</v>
      </c>
      <c r="F69" s="16">
        <f t="shared" si="3"/>
        <v>-50.2</v>
      </c>
      <c r="G69" s="16">
        <f t="shared" si="3"/>
        <v>-49.8</v>
      </c>
    </row>
    <row r="70" spans="1:8" x14ac:dyDescent="0.2">
      <c r="A70" s="17">
        <v>0</v>
      </c>
      <c r="B70" s="16">
        <f t="shared" si="3"/>
        <v>0</v>
      </c>
      <c r="C70" s="16">
        <f t="shared" si="3"/>
        <v>-0.1</v>
      </c>
      <c r="D70" s="16">
        <f t="shared" si="3"/>
        <v>0</v>
      </c>
      <c r="E70" s="16">
        <f t="shared" si="3"/>
        <v>0.1</v>
      </c>
      <c r="F70" s="16">
        <f t="shared" si="3"/>
        <v>-0.1</v>
      </c>
      <c r="G70" s="16">
        <f t="shared" si="3"/>
        <v>0</v>
      </c>
    </row>
    <row r="71" spans="1:8" x14ac:dyDescent="0.2">
      <c r="A71" s="17">
        <v>250</v>
      </c>
      <c r="B71" s="16">
        <f t="shared" si="3"/>
        <v>250</v>
      </c>
      <c r="C71" s="16">
        <f t="shared" si="3"/>
        <v>249.9</v>
      </c>
      <c r="D71" s="16">
        <f t="shared" si="3"/>
        <v>250.1</v>
      </c>
      <c r="E71" s="16">
        <f t="shared" si="3"/>
        <v>250.1</v>
      </c>
      <c r="F71" s="16">
        <f t="shared" si="3"/>
        <v>249.9</v>
      </c>
      <c r="G71" s="16">
        <f t="shared" si="3"/>
        <v>250.1</v>
      </c>
    </row>
    <row r="72" spans="1:8" x14ac:dyDescent="0.2">
      <c r="A72" s="17">
        <v>500</v>
      </c>
      <c r="B72" s="16">
        <f t="shared" si="3"/>
        <v>499.9</v>
      </c>
      <c r="C72" s="16">
        <f t="shared" si="3"/>
        <v>499.8</v>
      </c>
      <c r="D72" s="16">
        <f t="shared" si="3"/>
        <v>500.1</v>
      </c>
      <c r="E72" s="16">
        <f t="shared" si="3"/>
        <v>500.1</v>
      </c>
      <c r="F72" s="16">
        <f t="shared" si="3"/>
        <v>499.9</v>
      </c>
      <c r="G72" s="16">
        <f t="shared" si="3"/>
        <v>499.9</v>
      </c>
    </row>
    <row r="73" spans="1:8" x14ac:dyDescent="0.2">
      <c r="A73" s="17">
        <v>1000</v>
      </c>
      <c r="B73" s="16">
        <f t="shared" si="3"/>
        <v>1000</v>
      </c>
      <c r="C73" s="16">
        <f t="shared" si="3"/>
        <v>999.7</v>
      </c>
      <c r="D73" s="16">
        <f t="shared" si="3"/>
        <v>1000.2</v>
      </c>
      <c r="E73" s="16">
        <f t="shared" si="3"/>
        <v>1000.1</v>
      </c>
      <c r="F73" s="16">
        <f t="shared" si="3"/>
        <v>999.9</v>
      </c>
      <c r="G73" s="16">
        <f t="shared" si="3"/>
        <v>999.8</v>
      </c>
    </row>
    <row r="74" spans="1:8" x14ac:dyDescent="0.2">
      <c r="A74" s="17"/>
      <c r="B74" s="16"/>
      <c r="C74" s="16"/>
      <c r="D74" s="16"/>
      <c r="E74" s="16"/>
      <c r="F74" s="16"/>
      <c r="G74" s="16"/>
    </row>
    <row r="75" spans="1:8" x14ac:dyDescent="0.2">
      <c r="A75" s="17"/>
      <c r="B75" s="16"/>
      <c r="C75" s="16"/>
      <c r="D75" s="16"/>
      <c r="E75" s="16"/>
      <c r="F75" s="16"/>
      <c r="G75" s="16"/>
    </row>
    <row r="76" spans="1:8" x14ac:dyDescent="0.2">
      <c r="A76" s="6"/>
      <c r="G76" s="7"/>
    </row>
    <row r="77" spans="1:8" x14ac:dyDescent="0.2">
      <c r="A77" s="3"/>
      <c r="B77" s="4" t="s">
        <v>41</v>
      </c>
      <c r="C77" s="4" t="s">
        <v>42</v>
      </c>
      <c r="D77" s="4" t="s">
        <v>43</v>
      </c>
      <c r="E77" s="4" t="s">
        <v>44</v>
      </c>
      <c r="F77" s="4" t="s">
        <v>45</v>
      </c>
      <c r="G77" s="5" t="s">
        <v>46</v>
      </c>
      <c r="H77" t="s">
        <v>4</v>
      </c>
    </row>
    <row r="78" spans="1:8" x14ac:dyDescent="0.2">
      <c r="A78" s="17">
        <v>-100</v>
      </c>
      <c r="B78" s="16">
        <f t="shared" ref="B78:G83" si="4">J8</f>
        <v>-99.9</v>
      </c>
      <c r="C78" s="16">
        <f t="shared" si="4"/>
        <v>-100</v>
      </c>
      <c r="D78" s="16">
        <f t="shared" si="4"/>
        <v>-100.2</v>
      </c>
      <c r="E78" s="16">
        <f t="shared" si="4"/>
        <v>-100.1</v>
      </c>
      <c r="F78" s="16">
        <f t="shared" si="4"/>
        <v>-100.2</v>
      </c>
      <c r="G78" s="16">
        <f t="shared" si="4"/>
        <v>-100.2</v>
      </c>
    </row>
    <row r="79" spans="1:8" x14ac:dyDescent="0.2">
      <c r="A79" s="17">
        <v>-50</v>
      </c>
      <c r="B79" s="16">
        <f t="shared" si="4"/>
        <v>-49.9</v>
      </c>
      <c r="C79" s="16">
        <f t="shared" si="4"/>
        <v>-49.8</v>
      </c>
      <c r="D79" s="16">
        <f t="shared" si="4"/>
        <v>-50.1</v>
      </c>
      <c r="E79" s="16">
        <f t="shared" si="4"/>
        <v>-50.1</v>
      </c>
      <c r="F79" s="16">
        <f t="shared" si="4"/>
        <v>-50.1</v>
      </c>
      <c r="G79" s="16">
        <f t="shared" si="4"/>
        <v>-50</v>
      </c>
    </row>
    <row r="80" spans="1:8" x14ac:dyDescent="0.2">
      <c r="A80" s="17">
        <v>0</v>
      </c>
      <c r="B80" s="16">
        <f t="shared" si="4"/>
        <v>0</v>
      </c>
      <c r="C80" s="16">
        <f t="shared" si="4"/>
        <v>0.1</v>
      </c>
      <c r="D80" s="16">
        <f t="shared" si="4"/>
        <v>-0.1</v>
      </c>
      <c r="E80" s="16">
        <f t="shared" si="4"/>
        <v>0</v>
      </c>
      <c r="F80" s="16">
        <f t="shared" si="4"/>
        <v>0.1</v>
      </c>
      <c r="G80" s="16">
        <f t="shared" si="4"/>
        <v>0.1</v>
      </c>
    </row>
    <row r="81" spans="1:8" x14ac:dyDescent="0.2">
      <c r="A81" s="17">
        <v>250</v>
      </c>
      <c r="B81" s="16">
        <f t="shared" si="4"/>
        <v>250.1</v>
      </c>
      <c r="C81" s="16">
        <f t="shared" si="4"/>
        <v>250.1</v>
      </c>
      <c r="D81" s="16">
        <f t="shared" si="4"/>
        <v>250.2</v>
      </c>
      <c r="E81" s="16">
        <f t="shared" si="4"/>
        <v>250.1</v>
      </c>
      <c r="F81" s="16">
        <f t="shared" si="4"/>
        <v>249.8</v>
      </c>
      <c r="G81" s="16">
        <f t="shared" si="4"/>
        <v>249.9</v>
      </c>
    </row>
    <row r="82" spans="1:8" x14ac:dyDescent="0.2">
      <c r="A82" s="17">
        <v>500</v>
      </c>
      <c r="B82" s="16">
        <f t="shared" si="4"/>
        <v>500.1</v>
      </c>
      <c r="C82" s="16">
        <f t="shared" si="4"/>
        <v>500.1</v>
      </c>
      <c r="D82" s="16">
        <f t="shared" si="4"/>
        <v>500.2</v>
      </c>
      <c r="E82" s="16">
        <f t="shared" si="4"/>
        <v>500.1</v>
      </c>
      <c r="F82" s="16">
        <f t="shared" si="4"/>
        <v>499.9</v>
      </c>
      <c r="G82" s="16">
        <f t="shared" si="4"/>
        <v>500</v>
      </c>
    </row>
    <row r="83" spans="1:8" x14ac:dyDescent="0.2">
      <c r="A83" s="17">
        <v>1000</v>
      </c>
      <c r="B83" s="16">
        <f t="shared" si="4"/>
        <v>1000.2</v>
      </c>
      <c r="C83" s="16">
        <f t="shared" si="4"/>
        <v>1000.1</v>
      </c>
      <c r="D83" s="16">
        <f t="shared" si="4"/>
        <v>1000.3</v>
      </c>
      <c r="E83" s="16">
        <f t="shared" si="4"/>
        <v>1000.2</v>
      </c>
      <c r="F83" s="16">
        <f t="shared" si="4"/>
        <v>999.9</v>
      </c>
      <c r="G83" s="16">
        <f t="shared" si="4"/>
        <v>1000</v>
      </c>
    </row>
    <row r="84" spans="1:8" x14ac:dyDescent="0.2">
      <c r="A84" s="6"/>
      <c r="G84" s="7"/>
    </row>
    <row r="85" spans="1:8" x14ac:dyDescent="0.2">
      <c r="A85" s="6"/>
      <c r="B85" t="s">
        <v>47</v>
      </c>
      <c r="C85" t="s">
        <v>48</v>
      </c>
      <c r="D85" t="s">
        <v>49</v>
      </c>
      <c r="E85" t="s">
        <v>50</v>
      </c>
      <c r="F85" t="s">
        <v>51</v>
      </c>
      <c r="G85" s="7" t="s">
        <v>52</v>
      </c>
    </row>
    <row r="86" spans="1:8" x14ac:dyDescent="0.2">
      <c r="A86" s="17">
        <v>-100</v>
      </c>
      <c r="B86" s="16">
        <f t="shared" ref="B86:G91" si="5">J16</f>
        <v>-100.1</v>
      </c>
      <c r="C86" s="16">
        <f t="shared" si="5"/>
        <v>-100</v>
      </c>
      <c r="D86" s="16">
        <f t="shared" si="5"/>
        <v>-100.2</v>
      </c>
      <c r="E86" s="16">
        <f t="shared" si="5"/>
        <v>-100.2</v>
      </c>
      <c r="F86" s="16">
        <f t="shared" si="5"/>
        <v>-100.2</v>
      </c>
      <c r="G86" s="16">
        <f t="shared" si="5"/>
        <v>-100.3</v>
      </c>
    </row>
    <row r="87" spans="1:8" x14ac:dyDescent="0.2">
      <c r="A87" s="17">
        <v>-50</v>
      </c>
      <c r="B87" s="16">
        <f t="shared" si="5"/>
        <v>-49.9</v>
      </c>
      <c r="C87" s="16">
        <f t="shared" si="5"/>
        <v>-50</v>
      </c>
      <c r="D87" s="16">
        <f t="shared" si="5"/>
        <v>-50.1</v>
      </c>
      <c r="E87" s="16">
        <f t="shared" si="5"/>
        <v>-50.2</v>
      </c>
      <c r="F87" s="16">
        <f t="shared" si="5"/>
        <v>-50.1</v>
      </c>
      <c r="G87" s="16">
        <f t="shared" si="5"/>
        <v>-50.2</v>
      </c>
    </row>
    <row r="88" spans="1:8" x14ac:dyDescent="0.2">
      <c r="A88" s="17">
        <v>0</v>
      </c>
      <c r="B88" s="16">
        <f t="shared" si="5"/>
        <v>0.2</v>
      </c>
      <c r="C88" s="16">
        <f t="shared" si="5"/>
        <v>0.2</v>
      </c>
      <c r="D88" s="16">
        <f t="shared" si="5"/>
        <v>0.1</v>
      </c>
      <c r="E88" s="16">
        <f t="shared" si="5"/>
        <v>0.1</v>
      </c>
      <c r="F88" s="16">
        <f t="shared" si="5"/>
        <v>0.1</v>
      </c>
      <c r="G88" s="16">
        <f t="shared" si="5"/>
        <v>0.1</v>
      </c>
    </row>
    <row r="89" spans="1:8" x14ac:dyDescent="0.2">
      <c r="A89" s="17">
        <v>250</v>
      </c>
      <c r="B89" s="16">
        <f t="shared" si="5"/>
        <v>250</v>
      </c>
      <c r="C89" s="16">
        <f t="shared" si="5"/>
        <v>250.1</v>
      </c>
      <c r="D89" s="16">
        <f t="shared" si="5"/>
        <v>249.8</v>
      </c>
      <c r="E89" s="16">
        <f t="shared" si="5"/>
        <v>249.7</v>
      </c>
      <c r="F89" s="16">
        <f t="shared" si="5"/>
        <v>249.8</v>
      </c>
      <c r="G89" s="16">
        <f t="shared" si="5"/>
        <v>250</v>
      </c>
    </row>
    <row r="90" spans="1:8" x14ac:dyDescent="0.2">
      <c r="A90" s="17">
        <v>500</v>
      </c>
      <c r="B90" s="16">
        <f t="shared" si="5"/>
        <v>500.1</v>
      </c>
      <c r="C90" s="16">
        <f t="shared" si="5"/>
        <v>500.1</v>
      </c>
      <c r="D90" s="16">
        <f t="shared" si="5"/>
        <v>500</v>
      </c>
      <c r="E90" s="16">
        <f t="shared" si="5"/>
        <v>500.1</v>
      </c>
      <c r="F90" s="16">
        <f t="shared" si="5"/>
        <v>500</v>
      </c>
      <c r="G90" s="16">
        <f t="shared" si="5"/>
        <v>500.2</v>
      </c>
    </row>
    <row r="91" spans="1:8" x14ac:dyDescent="0.2">
      <c r="A91" s="17">
        <v>1000</v>
      </c>
      <c r="B91" s="16">
        <f t="shared" si="5"/>
        <v>1000</v>
      </c>
      <c r="C91" s="16">
        <f t="shared" si="5"/>
        <v>1000.2</v>
      </c>
      <c r="D91" s="16">
        <f t="shared" si="5"/>
        <v>1000.1</v>
      </c>
      <c r="E91" s="16">
        <f t="shared" si="5"/>
        <v>1000.3</v>
      </c>
      <c r="F91" s="16">
        <f t="shared" si="5"/>
        <v>1000.1</v>
      </c>
      <c r="G91" s="16">
        <f t="shared" si="5"/>
        <v>1000.2</v>
      </c>
    </row>
    <row r="92" spans="1:8" x14ac:dyDescent="0.2">
      <c r="A92" s="17"/>
      <c r="B92" s="16"/>
      <c r="C92" s="16"/>
      <c r="D92" s="16"/>
      <c r="E92" s="16"/>
      <c r="F92" s="16"/>
      <c r="G92" s="16"/>
    </row>
    <row r="93" spans="1:8" x14ac:dyDescent="0.2">
      <c r="A93" s="17"/>
      <c r="B93" s="16"/>
      <c r="C93" s="16"/>
      <c r="D93" s="16"/>
      <c r="E93" s="16"/>
      <c r="F93" s="16"/>
      <c r="G93" s="16"/>
    </row>
    <row r="94" spans="1:8" x14ac:dyDescent="0.2">
      <c r="A94" s="6"/>
      <c r="G94" s="7"/>
    </row>
    <row r="95" spans="1:8" x14ac:dyDescent="0.2">
      <c r="A95" s="3"/>
      <c r="B95" s="4" t="s">
        <v>53</v>
      </c>
      <c r="C95" s="4" t="s">
        <v>54</v>
      </c>
      <c r="D95" s="4" t="s">
        <v>55</v>
      </c>
      <c r="E95" s="4" t="s">
        <v>56</v>
      </c>
      <c r="F95" s="4"/>
      <c r="G95" s="5"/>
      <c r="H95" t="s">
        <v>5</v>
      </c>
    </row>
    <row r="96" spans="1:8" x14ac:dyDescent="0.2">
      <c r="A96" s="17">
        <v>-100</v>
      </c>
      <c r="B96" s="16">
        <f t="shared" ref="B96:E101" si="6">J24</f>
        <v>-100.5</v>
      </c>
      <c r="C96" s="16">
        <f t="shared" si="6"/>
        <v>-100.1</v>
      </c>
      <c r="D96" s="16">
        <f t="shared" si="6"/>
        <v>-99.8</v>
      </c>
      <c r="E96" s="16">
        <f t="shared" si="6"/>
        <v>-99.9</v>
      </c>
      <c r="G96" s="7"/>
    </row>
    <row r="97" spans="1:7" x14ac:dyDescent="0.2">
      <c r="A97" s="17">
        <v>-50</v>
      </c>
      <c r="B97" s="16">
        <f t="shared" si="6"/>
        <v>-50.3</v>
      </c>
      <c r="C97" s="16">
        <f t="shared" si="6"/>
        <v>-49.8</v>
      </c>
      <c r="D97" s="16">
        <f t="shared" si="6"/>
        <v>-50</v>
      </c>
      <c r="E97" s="16">
        <f t="shared" si="6"/>
        <v>-50</v>
      </c>
      <c r="G97" s="7"/>
    </row>
    <row r="98" spans="1:7" x14ac:dyDescent="0.2">
      <c r="A98" s="17">
        <v>0</v>
      </c>
      <c r="B98" s="16">
        <f t="shared" si="6"/>
        <v>0.3</v>
      </c>
      <c r="C98" s="16">
        <f t="shared" si="6"/>
        <v>0.2</v>
      </c>
      <c r="D98" s="16">
        <f t="shared" si="6"/>
        <v>0.2</v>
      </c>
      <c r="E98" s="16">
        <f t="shared" si="6"/>
        <v>0.2</v>
      </c>
      <c r="G98" s="7"/>
    </row>
    <row r="99" spans="1:7" x14ac:dyDescent="0.2">
      <c r="A99" s="17">
        <v>250</v>
      </c>
      <c r="B99" s="16">
        <f t="shared" si="6"/>
        <v>250.3</v>
      </c>
      <c r="C99" s="16">
        <f t="shared" si="6"/>
        <v>250.2</v>
      </c>
      <c r="D99" s="16">
        <f t="shared" si="6"/>
        <v>250.3</v>
      </c>
      <c r="E99" s="16">
        <f t="shared" si="6"/>
        <v>250.1</v>
      </c>
      <c r="G99" s="7"/>
    </row>
    <row r="100" spans="1:7" x14ac:dyDescent="0.2">
      <c r="A100" s="17">
        <v>500</v>
      </c>
      <c r="B100" s="16">
        <f t="shared" si="6"/>
        <v>500.4</v>
      </c>
      <c r="C100" s="16">
        <f t="shared" si="6"/>
        <v>500.3</v>
      </c>
      <c r="D100" s="16">
        <f t="shared" si="6"/>
        <v>500</v>
      </c>
      <c r="E100" s="16">
        <f t="shared" si="6"/>
        <v>500.1</v>
      </c>
      <c r="G100" s="7"/>
    </row>
    <row r="101" spans="1:7" x14ac:dyDescent="0.2">
      <c r="A101" s="17">
        <v>1000</v>
      </c>
      <c r="B101" s="16">
        <f t="shared" si="6"/>
        <v>1000.5</v>
      </c>
      <c r="C101" s="16">
        <f t="shared" si="6"/>
        <v>1000.3</v>
      </c>
      <c r="D101" s="16">
        <f t="shared" si="6"/>
        <v>1000.1</v>
      </c>
      <c r="E101" s="16">
        <f t="shared" si="6"/>
        <v>1000.1</v>
      </c>
      <c r="G101" s="7"/>
    </row>
  </sheetData>
  <pageMargins left="0.7" right="0.7" top="0.75" bottom="0.75" header="0.3" footer="0.3"/>
  <customProperties>
    <customPr name="%locator_row%" r:id="rId1"/>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CD154"/>
  <sheetViews>
    <sheetView workbookViewId="0">
      <selection activeCell="B1" sqref="B1:D1"/>
    </sheetView>
  </sheetViews>
  <sheetFormatPr defaultRowHeight="12.75" x14ac:dyDescent="0.2"/>
  <cols>
    <col min="1" max="1" width="16.42578125" customWidth="1"/>
    <col min="2" max="2" width="11.42578125" customWidth="1"/>
    <col min="7" max="7" width="11" customWidth="1"/>
    <col min="9" max="9" width="12.5703125" customWidth="1"/>
    <col min="67" max="67" width="3.85546875" style="80" customWidth="1"/>
  </cols>
  <sheetData>
    <row r="1" spans="1:82" x14ac:dyDescent="0.2">
      <c r="A1" s="24" t="s">
        <v>61</v>
      </c>
      <c r="B1" s="103" t="s">
        <v>159</v>
      </c>
      <c r="C1" s="103"/>
      <c r="D1" s="103"/>
      <c r="E1" s="15"/>
      <c r="F1" s="24" t="s">
        <v>63</v>
      </c>
      <c r="G1" s="103" t="s">
        <v>104</v>
      </c>
      <c r="H1" s="106"/>
      <c r="M1" s="23" t="s">
        <v>121</v>
      </c>
    </row>
    <row r="2" spans="1:82" x14ac:dyDescent="0.2">
      <c r="A2" s="24" t="s">
        <v>62</v>
      </c>
      <c r="B2" s="103" t="s">
        <v>58</v>
      </c>
      <c r="C2" s="103"/>
      <c r="D2" s="103"/>
      <c r="E2" s="15"/>
      <c r="F2" s="24" t="s">
        <v>76</v>
      </c>
      <c r="G2" s="111">
        <v>45747</v>
      </c>
      <c r="H2" s="106"/>
      <c r="I2" s="71" t="str">
        <f>IF(G2&gt;P3,"CHECK STD!!","")</f>
        <v/>
      </c>
      <c r="J2" s="114" t="s">
        <v>121</v>
      </c>
      <c r="K2" s="115"/>
      <c r="L2" s="114" t="s">
        <v>122</v>
      </c>
      <c r="M2" s="115"/>
      <c r="N2" s="114" t="s">
        <v>123</v>
      </c>
      <c r="O2" s="115"/>
      <c r="P2" s="114" t="s">
        <v>124</v>
      </c>
      <c r="Q2" s="115"/>
      <c r="R2" s="114" t="s">
        <v>126</v>
      </c>
      <c r="S2" s="115"/>
    </row>
    <row r="3" spans="1:82" x14ac:dyDescent="0.2">
      <c r="A3" s="24" t="s">
        <v>73</v>
      </c>
      <c r="B3" s="103" t="s">
        <v>81</v>
      </c>
      <c r="C3" s="106"/>
      <c r="D3" s="106"/>
      <c r="F3" s="24" t="s">
        <v>77</v>
      </c>
      <c r="G3" s="111">
        <v>45838</v>
      </c>
      <c r="H3" s="106"/>
      <c r="J3" s="116" t="s">
        <v>157</v>
      </c>
      <c r="K3" s="117"/>
      <c r="L3" s="118">
        <v>6851022030037</v>
      </c>
      <c r="M3" s="118"/>
      <c r="N3" s="119">
        <v>45474</v>
      </c>
      <c r="O3" s="117"/>
      <c r="P3" s="119">
        <v>45839</v>
      </c>
      <c r="Q3" s="117"/>
      <c r="R3" s="116" t="s">
        <v>158</v>
      </c>
      <c r="S3" s="117"/>
    </row>
    <row r="4" spans="1:82" x14ac:dyDescent="0.2">
      <c r="A4" s="24" t="s">
        <v>74</v>
      </c>
      <c r="B4" s="103" t="s">
        <v>155</v>
      </c>
      <c r="C4" s="106"/>
      <c r="D4" s="106"/>
      <c r="F4" s="24" t="s">
        <v>66</v>
      </c>
      <c r="G4" s="112">
        <v>73</v>
      </c>
      <c r="H4" s="112"/>
      <c r="J4" s="117"/>
      <c r="K4" s="117"/>
      <c r="L4" s="117"/>
      <c r="M4" s="117"/>
      <c r="N4" s="117"/>
      <c r="O4" s="117"/>
      <c r="P4" s="117"/>
      <c r="Q4" s="117"/>
      <c r="R4" s="117"/>
      <c r="S4" s="117"/>
    </row>
    <row r="5" spans="1:82" x14ac:dyDescent="0.2">
      <c r="A5" s="24" t="s">
        <v>68</v>
      </c>
      <c r="B5" s="103" t="s">
        <v>82</v>
      </c>
      <c r="C5" s="106"/>
      <c r="D5" s="106"/>
      <c r="F5" s="24" t="s">
        <v>78</v>
      </c>
      <c r="G5" s="113">
        <v>29</v>
      </c>
      <c r="H5" s="113"/>
      <c r="J5" s="117"/>
      <c r="K5" s="117"/>
      <c r="L5" s="117"/>
      <c r="M5" s="117"/>
      <c r="N5" s="117"/>
      <c r="O5" s="117"/>
      <c r="P5" s="117"/>
      <c r="Q5" s="117"/>
      <c r="R5" s="117"/>
      <c r="S5" s="117"/>
    </row>
    <row r="6" spans="1:82" x14ac:dyDescent="0.2">
      <c r="A6" s="24" t="s">
        <v>69</v>
      </c>
      <c r="B6" s="106">
        <v>807408</v>
      </c>
      <c r="C6" s="106"/>
      <c r="D6" s="106"/>
      <c r="F6" s="24"/>
    </row>
    <row r="7" spans="1:82" ht="13.5" thickBot="1" x14ac:dyDescent="0.25">
      <c r="A7" s="30" t="s">
        <v>75</v>
      </c>
      <c r="B7" s="107" t="s">
        <v>83</v>
      </c>
      <c r="C7" s="108"/>
      <c r="D7" s="109"/>
      <c r="E7" s="31"/>
      <c r="F7" s="30"/>
      <c r="H7" s="31"/>
      <c r="I7" s="31"/>
      <c r="J7" s="31"/>
    </row>
    <row r="8" spans="1:82" ht="12.75" customHeight="1" x14ac:dyDescent="0.2">
      <c r="A8" s="24" t="s">
        <v>84</v>
      </c>
      <c r="B8" s="110" t="s">
        <v>97</v>
      </c>
      <c r="C8" s="103"/>
      <c r="D8" s="73"/>
      <c r="F8" s="24" t="s">
        <v>86</v>
      </c>
      <c r="G8" s="75" t="s">
        <v>156</v>
      </c>
      <c r="I8" s="104" t="s">
        <v>116</v>
      </c>
      <c r="J8" s="104"/>
      <c r="K8" s="105" t="s">
        <v>117</v>
      </c>
      <c r="L8" s="105"/>
      <c r="M8" s="105"/>
      <c r="N8" s="105"/>
      <c r="O8" s="105"/>
      <c r="P8" s="105"/>
      <c r="Q8" s="105"/>
      <c r="R8" s="105"/>
      <c r="S8" s="105"/>
      <c r="T8" s="105"/>
    </row>
    <row r="9" spans="1:82" x14ac:dyDescent="0.2">
      <c r="A9" s="24" t="s">
        <v>85</v>
      </c>
      <c r="B9" s="107" t="s">
        <v>98</v>
      </c>
      <c r="C9" s="107"/>
      <c r="D9" s="73"/>
      <c r="F9" s="24" t="s">
        <v>72</v>
      </c>
      <c r="G9" s="74" t="s">
        <v>95</v>
      </c>
      <c r="K9" s="105"/>
      <c r="L9" s="105"/>
      <c r="M9" s="105"/>
      <c r="N9" s="105"/>
      <c r="O9" s="105"/>
      <c r="P9" s="105"/>
      <c r="Q9" s="105"/>
      <c r="R9" s="105"/>
      <c r="S9" s="105"/>
      <c r="T9" s="105"/>
      <c r="BP9" s="23" t="s">
        <v>146</v>
      </c>
    </row>
    <row r="10" spans="1:82" x14ac:dyDescent="0.2">
      <c r="A10" s="24" t="s">
        <v>70</v>
      </c>
      <c r="B10" s="103" t="s">
        <v>145</v>
      </c>
      <c r="C10" s="103"/>
      <c r="D10" s="103"/>
      <c r="F10" s="24" t="s">
        <v>113</v>
      </c>
      <c r="G10" s="75" t="s">
        <v>114</v>
      </c>
      <c r="K10" s="105"/>
      <c r="L10" s="105"/>
      <c r="M10" s="105"/>
      <c r="N10" s="105"/>
      <c r="O10" s="105"/>
      <c r="P10" s="105"/>
      <c r="Q10" s="105"/>
      <c r="R10" s="105"/>
      <c r="S10" s="105"/>
      <c r="T10" s="105"/>
    </row>
    <row r="11" spans="1:82" x14ac:dyDescent="0.2">
      <c r="J11" s="24" t="s">
        <v>118</v>
      </c>
      <c r="K11" s="103" t="s">
        <v>119</v>
      </c>
      <c r="L11" s="106"/>
      <c r="M11" s="106"/>
      <c r="R11" s="15" t="s">
        <v>57</v>
      </c>
      <c r="AH11" s="66" t="s">
        <v>134</v>
      </c>
      <c r="AI11" s="57"/>
      <c r="AJ11" s="57"/>
      <c r="AK11" s="57"/>
      <c r="AL11" s="57"/>
      <c r="AM11" s="57"/>
      <c r="AN11" s="57"/>
      <c r="AO11" s="69" t="s">
        <v>136</v>
      </c>
      <c r="AP11" s="57"/>
      <c r="AQ11" s="57"/>
      <c r="AR11" s="57"/>
      <c r="AS11" s="57"/>
      <c r="AT11" s="57"/>
      <c r="AU11" s="57"/>
      <c r="AV11" s="58"/>
      <c r="AW11" s="69" t="s">
        <v>136</v>
      </c>
      <c r="AX11" s="66" t="s">
        <v>135</v>
      </c>
      <c r="AY11" s="57"/>
      <c r="AZ11" s="57"/>
      <c r="BA11" s="57"/>
      <c r="BB11" s="57"/>
      <c r="BC11" s="57"/>
      <c r="BD11" s="57"/>
      <c r="BE11" s="69" t="s">
        <v>136</v>
      </c>
      <c r="BF11" s="57"/>
      <c r="BG11" s="57"/>
      <c r="BH11" s="57"/>
      <c r="BI11" s="57"/>
      <c r="BJ11" s="57"/>
      <c r="BK11" s="57"/>
      <c r="BL11" s="58"/>
      <c r="BM11" s="69" t="s">
        <v>136</v>
      </c>
    </row>
    <row r="12" spans="1:82" x14ac:dyDescent="0.2">
      <c r="A12" s="11" t="s">
        <v>9</v>
      </c>
      <c r="B12" s="12" t="s">
        <v>10</v>
      </c>
      <c r="C12" s="12" t="s">
        <v>11</v>
      </c>
      <c r="D12" s="12" t="s">
        <v>12</v>
      </c>
      <c r="E12" s="12" t="s">
        <v>13</v>
      </c>
      <c r="F12" s="12" t="s">
        <v>14</v>
      </c>
      <c r="G12" s="12" t="s">
        <v>15</v>
      </c>
      <c r="I12" s="11" t="s">
        <v>9</v>
      </c>
      <c r="J12" s="12">
        <v>25</v>
      </c>
      <c r="K12" s="12">
        <v>26</v>
      </c>
      <c r="L12" s="12">
        <v>27</v>
      </c>
      <c r="M12" s="12">
        <v>28</v>
      </c>
      <c r="N12" s="12">
        <v>29</v>
      </c>
      <c r="O12" s="12">
        <v>30</v>
      </c>
      <c r="R12" s="11" t="s">
        <v>9</v>
      </c>
      <c r="S12" s="12" t="s">
        <v>10</v>
      </c>
      <c r="T12" s="12" t="s">
        <v>11</v>
      </c>
      <c r="U12" s="12" t="s">
        <v>12</v>
      </c>
      <c r="V12" s="12" t="s">
        <v>13</v>
      </c>
      <c r="W12" s="12" t="s">
        <v>14</v>
      </c>
      <c r="X12" s="12" t="s">
        <v>15</v>
      </c>
      <c r="Z12" s="11" t="s">
        <v>9</v>
      </c>
      <c r="AA12" s="12">
        <v>25</v>
      </c>
      <c r="AB12" s="12">
        <v>26</v>
      </c>
      <c r="AC12" s="12">
        <v>27</v>
      </c>
      <c r="AD12" s="12">
        <v>28</v>
      </c>
      <c r="AE12" s="12">
        <v>29</v>
      </c>
      <c r="AF12" s="12">
        <v>30</v>
      </c>
      <c r="AH12" s="11" t="s">
        <v>9</v>
      </c>
      <c r="AI12" s="12" t="s">
        <v>10</v>
      </c>
      <c r="AJ12" s="12" t="s">
        <v>11</v>
      </c>
      <c r="AK12" s="12" t="s">
        <v>12</v>
      </c>
      <c r="AL12" s="12" t="s">
        <v>13</v>
      </c>
      <c r="AM12" s="12" t="s">
        <v>14</v>
      </c>
      <c r="AN12" s="12" t="s">
        <v>15</v>
      </c>
      <c r="AP12" s="11" t="s">
        <v>9</v>
      </c>
      <c r="AQ12" s="12">
        <v>25</v>
      </c>
      <c r="AR12" s="12">
        <v>26</v>
      </c>
      <c r="AS12" s="12">
        <v>27</v>
      </c>
      <c r="AT12" s="12">
        <v>28</v>
      </c>
      <c r="AU12" s="12">
        <v>29</v>
      </c>
      <c r="AV12" s="12">
        <v>30</v>
      </c>
      <c r="AX12" s="11" t="s">
        <v>9</v>
      </c>
      <c r="AY12" s="12" t="s">
        <v>10</v>
      </c>
      <c r="AZ12" s="12" t="s">
        <v>11</v>
      </c>
      <c r="BA12" s="12" t="s">
        <v>12</v>
      </c>
      <c r="BB12" s="12" t="s">
        <v>13</v>
      </c>
      <c r="BC12" s="12" t="s">
        <v>14</v>
      </c>
      <c r="BD12" s="12" t="s">
        <v>15</v>
      </c>
      <c r="BF12" s="11" t="s">
        <v>9</v>
      </c>
      <c r="BG12" s="12">
        <v>25</v>
      </c>
      <c r="BH12" s="12">
        <v>26</v>
      </c>
      <c r="BI12" s="12">
        <v>27</v>
      </c>
      <c r="BJ12" s="12">
        <v>28</v>
      </c>
      <c r="BK12" s="12">
        <v>29</v>
      </c>
      <c r="BL12" s="12">
        <v>30</v>
      </c>
      <c r="BP12" s="11" t="s">
        <v>9</v>
      </c>
      <c r="BQ12" s="12" t="s">
        <v>10</v>
      </c>
      <c r="BR12" s="12" t="s">
        <v>11</v>
      </c>
      <c r="BS12" s="12" t="s">
        <v>12</v>
      </c>
      <c r="BT12" s="12" t="s">
        <v>13</v>
      </c>
      <c r="BU12" s="12" t="s">
        <v>14</v>
      </c>
      <c r="BV12" s="12" t="s">
        <v>15</v>
      </c>
      <c r="BX12" s="11" t="s">
        <v>9</v>
      </c>
      <c r="BY12" s="12">
        <v>25</v>
      </c>
      <c r="BZ12" s="12">
        <v>26</v>
      </c>
      <c r="CA12" s="12">
        <v>27</v>
      </c>
      <c r="CB12" s="12">
        <v>28</v>
      </c>
      <c r="CC12" s="12">
        <v>29</v>
      </c>
      <c r="CD12" s="12">
        <v>30</v>
      </c>
    </row>
    <row r="13" spans="1:82" x14ac:dyDescent="0.2">
      <c r="A13" s="11">
        <v>-100</v>
      </c>
      <c r="B13" s="79">
        <v>-99.8</v>
      </c>
      <c r="C13" s="72">
        <v>-99.9</v>
      </c>
      <c r="D13" s="72">
        <v>-99.8</v>
      </c>
      <c r="E13" s="72">
        <v>-99.9</v>
      </c>
      <c r="F13" s="72">
        <v>-100</v>
      </c>
      <c r="G13" s="72">
        <v>-99.9</v>
      </c>
      <c r="H13" s="71" t="str">
        <f t="shared" ref="H13:H18" si="0">IF((AO13+BE13)&gt;0,"OOT","")</f>
        <v/>
      </c>
      <c r="I13" s="11">
        <v>-100</v>
      </c>
      <c r="J13" s="72">
        <v>-99.9</v>
      </c>
      <c r="K13" s="72">
        <v>-100</v>
      </c>
      <c r="L13" s="72">
        <v>-100.2</v>
      </c>
      <c r="M13" s="72">
        <v>-100.1</v>
      </c>
      <c r="N13" s="72">
        <v>-100.2</v>
      </c>
      <c r="O13" s="72">
        <v>-100.2</v>
      </c>
      <c r="P13" s="71" t="str">
        <f t="shared" ref="P13:P18" si="1">IF((AW13+BM13)&gt;0,"OOT","")</f>
        <v/>
      </c>
      <c r="R13" s="11">
        <v>-100</v>
      </c>
      <c r="S13" s="72"/>
      <c r="T13" s="72"/>
      <c r="U13" s="72"/>
      <c r="V13" s="72"/>
      <c r="W13" s="72"/>
      <c r="X13" s="72"/>
      <c r="Z13" s="11">
        <v>-100</v>
      </c>
      <c r="AA13" s="72"/>
      <c r="AB13" s="72"/>
      <c r="AC13" s="72"/>
      <c r="AD13" s="72"/>
      <c r="AE13" s="72"/>
      <c r="AF13" s="72"/>
      <c r="AH13" s="11">
        <v>-100</v>
      </c>
      <c r="AI13" s="13">
        <f t="shared" ref="AI13:AN13" si="2">IF(B13&gt;($A$13+1),1,0)</f>
        <v>0</v>
      </c>
      <c r="AJ13" s="13">
        <f t="shared" si="2"/>
        <v>0</v>
      </c>
      <c r="AK13" s="13">
        <f t="shared" si="2"/>
        <v>0</v>
      </c>
      <c r="AL13" s="13">
        <f t="shared" si="2"/>
        <v>0</v>
      </c>
      <c r="AM13" s="13">
        <f t="shared" si="2"/>
        <v>0</v>
      </c>
      <c r="AN13" s="13">
        <f t="shared" si="2"/>
        <v>0</v>
      </c>
      <c r="AO13" s="70">
        <f t="shared" ref="AO13:AO18" si="3">SUM(AI13:AN13)</f>
        <v>0</v>
      </c>
      <c r="AP13" s="11">
        <v>-100</v>
      </c>
      <c r="AQ13" s="13">
        <f t="shared" ref="AQ13:AV13" si="4">IF(J13&gt;($I$13+1),1,0)</f>
        <v>0</v>
      </c>
      <c r="AR13" s="13">
        <f t="shared" si="4"/>
        <v>0</v>
      </c>
      <c r="AS13" s="13">
        <f t="shared" si="4"/>
        <v>0</v>
      </c>
      <c r="AT13" s="13">
        <f t="shared" si="4"/>
        <v>0</v>
      </c>
      <c r="AU13" s="13">
        <f t="shared" si="4"/>
        <v>0</v>
      </c>
      <c r="AV13" s="13">
        <f t="shared" si="4"/>
        <v>0</v>
      </c>
      <c r="AW13" s="70">
        <f t="shared" ref="AW13:AW18" si="5">SUM(AQ13:AV13)</f>
        <v>0</v>
      </c>
      <c r="AX13" s="11">
        <v>-100</v>
      </c>
      <c r="AY13" s="13">
        <f t="shared" ref="AY13:BD13" si="6">IF(B13&lt;($A$13-1),1,0)</f>
        <v>0</v>
      </c>
      <c r="AZ13" s="13">
        <f t="shared" si="6"/>
        <v>0</v>
      </c>
      <c r="BA13" s="13">
        <f t="shared" si="6"/>
        <v>0</v>
      </c>
      <c r="BB13" s="13">
        <f t="shared" si="6"/>
        <v>0</v>
      </c>
      <c r="BC13" s="13">
        <f t="shared" si="6"/>
        <v>0</v>
      </c>
      <c r="BD13" s="13">
        <f t="shared" si="6"/>
        <v>0</v>
      </c>
      <c r="BE13" s="70">
        <f t="shared" ref="BE13:BE18" si="7">SUM(AY13:BD13)</f>
        <v>0</v>
      </c>
      <c r="BF13" s="11">
        <v>-100</v>
      </c>
      <c r="BG13" s="13">
        <f t="shared" ref="BG13:BL13" si="8">IF(J13&lt;($I$13-1),1,0)</f>
        <v>0</v>
      </c>
      <c r="BH13" s="13">
        <f t="shared" si="8"/>
        <v>0</v>
      </c>
      <c r="BI13" s="13">
        <f t="shared" si="8"/>
        <v>0</v>
      </c>
      <c r="BJ13" s="13">
        <f t="shared" si="8"/>
        <v>0</v>
      </c>
      <c r="BK13" s="13">
        <f t="shared" si="8"/>
        <v>0</v>
      </c>
      <c r="BL13" s="13">
        <f t="shared" si="8"/>
        <v>0</v>
      </c>
      <c r="BM13" s="70">
        <f t="shared" ref="BM13:BM18" si="9">SUM(BG13:BL13)</f>
        <v>0</v>
      </c>
      <c r="BP13" s="11">
        <v>-100</v>
      </c>
      <c r="BQ13" s="12">
        <f>B13-$A13</f>
        <v>0.20000000000000284</v>
      </c>
      <c r="BR13" s="12">
        <f t="shared" ref="BR13:BV18" si="10">C13-$A13</f>
        <v>9.9999999999994316E-2</v>
      </c>
      <c r="BS13" s="12">
        <f t="shared" si="10"/>
        <v>0.20000000000000284</v>
      </c>
      <c r="BT13" s="12">
        <f t="shared" si="10"/>
        <v>9.9999999999994316E-2</v>
      </c>
      <c r="BU13" s="12">
        <f t="shared" si="10"/>
        <v>0</v>
      </c>
      <c r="BV13" s="12">
        <f t="shared" si="10"/>
        <v>9.9999999999994316E-2</v>
      </c>
      <c r="BX13" s="11">
        <v>-100</v>
      </c>
      <c r="BY13" s="13">
        <f>J13-$I13</f>
        <v>9.9999999999994316E-2</v>
      </c>
      <c r="BZ13" s="13">
        <f t="shared" ref="BZ13:CD13" si="11">K13-$I13</f>
        <v>0</v>
      </c>
      <c r="CA13" s="13">
        <f t="shared" si="11"/>
        <v>-0.20000000000000284</v>
      </c>
      <c r="CB13" s="13">
        <f t="shared" si="11"/>
        <v>-9.9999999999994316E-2</v>
      </c>
      <c r="CC13" s="13">
        <f t="shared" si="11"/>
        <v>-0.20000000000000284</v>
      </c>
      <c r="CD13" s="13">
        <f t="shared" si="11"/>
        <v>-0.20000000000000284</v>
      </c>
    </row>
    <row r="14" spans="1:82" x14ac:dyDescent="0.2">
      <c r="A14" s="11">
        <v>-50</v>
      </c>
      <c r="B14" s="72">
        <v>-49.8</v>
      </c>
      <c r="C14" s="72">
        <v>-49.9</v>
      </c>
      <c r="D14" s="72">
        <v>-49.8</v>
      </c>
      <c r="E14" s="72">
        <v>-49.9</v>
      </c>
      <c r="F14" s="72">
        <v>-50</v>
      </c>
      <c r="G14" s="72">
        <v>-49.9</v>
      </c>
      <c r="H14" s="71" t="str">
        <f t="shared" si="0"/>
        <v/>
      </c>
      <c r="I14" s="11">
        <v>-50</v>
      </c>
      <c r="J14" s="72">
        <v>-49.9</v>
      </c>
      <c r="K14" s="72">
        <v>-49.8</v>
      </c>
      <c r="L14" s="72">
        <v>-50.1</v>
      </c>
      <c r="M14" s="72">
        <v>-50.1</v>
      </c>
      <c r="N14" s="72">
        <v>-50.1</v>
      </c>
      <c r="O14" s="72">
        <v>-50</v>
      </c>
      <c r="P14" s="71" t="str">
        <f t="shared" si="1"/>
        <v/>
      </c>
      <c r="R14" s="11">
        <v>-50</v>
      </c>
      <c r="S14" s="72"/>
      <c r="T14" s="72"/>
      <c r="U14" s="72"/>
      <c r="V14" s="72"/>
      <c r="W14" s="72"/>
      <c r="X14" s="72"/>
      <c r="Z14" s="11">
        <v>-50</v>
      </c>
      <c r="AA14" s="72"/>
      <c r="AB14" s="72"/>
      <c r="AC14" s="72"/>
      <c r="AD14" s="72"/>
      <c r="AE14" s="72"/>
      <c r="AF14" s="72"/>
      <c r="AH14" s="11">
        <v>-50</v>
      </c>
      <c r="AI14" s="13">
        <f t="shared" ref="AI14:AN14" si="12">IF(B14&gt;($A$14+1),1,0)</f>
        <v>0</v>
      </c>
      <c r="AJ14" s="13">
        <f t="shared" si="12"/>
        <v>0</v>
      </c>
      <c r="AK14" s="13">
        <f t="shared" si="12"/>
        <v>0</v>
      </c>
      <c r="AL14" s="13">
        <f t="shared" si="12"/>
        <v>0</v>
      </c>
      <c r="AM14" s="13">
        <f t="shared" si="12"/>
        <v>0</v>
      </c>
      <c r="AN14" s="13">
        <f t="shared" si="12"/>
        <v>0</v>
      </c>
      <c r="AO14" s="70">
        <f t="shared" si="3"/>
        <v>0</v>
      </c>
      <c r="AP14" s="11">
        <v>-50</v>
      </c>
      <c r="AQ14" s="13">
        <f t="shared" ref="AQ14:AV14" si="13">IF(J14&gt;($I$14+1),1,0)</f>
        <v>0</v>
      </c>
      <c r="AR14" s="13">
        <f t="shared" si="13"/>
        <v>0</v>
      </c>
      <c r="AS14" s="13">
        <f t="shared" si="13"/>
        <v>0</v>
      </c>
      <c r="AT14" s="13">
        <f t="shared" si="13"/>
        <v>0</v>
      </c>
      <c r="AU14" s="13">
        <f t="shared" si="13"/>
        <v>0</v>
      </c>
      <c r="AV14" s="13">
        <f t="shared" si="13"/>
        <v>0</v>
      </c>
      <c r="AW14" s="70">
        <f t="shared" si="5"/>
        <v>0</v>
      </c>
      <c r="AX14" s="11">
        <v>-50</v>
      </c>
      <c r="AY14" s="13">
        <f t="shared" ref="AY14:BD14" si="14">IF(B14&lt;($A$14-1),1,0)</f>
        <v>0</v>
      </c>
      <c r="AZ14" s="13">
        <f t="shared" si="14"/>
        <v>0</v>
      </c>
      <c r="BA14" s="13">
        <f t="shared" si="14"/>
        <v>0</v>
      </c>
      <c r="BB14" s="13">
        <f t="shared" si="14"/>
        <v>0</v>
      </c>
      <c r="BC14" s="13">
        <f t="shared" si="14"/>
        <v>0</v>
      </c>
      <c r="BD14" s="13">
        <f t="shared" si="14"/>
        <v>0</v>
      </c>
      <c r="BE14" s="70">
        <f t="shared" si="7"/>
        <v>0</v>
      </c>
      <c r="BF14" s="11">
        <v>-50</v>
      </c>
      <c r="BG14" s="13">
        <f t="shared" ref="BG14:BL14" si="15">IF(J14&lt;($I$14-1),1,0)</f>
        <v>0</v>
      </c>
      <c r="BH14" s="13">
        <f t="shared" si="15"/>
        <v>0</v>
      </c>
      <c r="BI14" s="13">
        <f t="shared" si="15"/>
        <v>0</v>
      </c>
      <c r="BJ14" s="13">
        <f t="shared" si="15"/>
        <v>0</v>
      </c>
      <c r="BK14" s="13">
        <f t="shared" si="15"/>
        <v>0</v>
      </c>
      <c r="BL14" s="13">
        <f t="shared" si="15"/>
        <v>0</v>
      </c>
      <c r="BM14" s="70">
        <f t="shared" si="9"/>
        <v>0</v>
      </c>
      <c r="BP14" s="11">
        <v>-50</v>
      </c>
      <c r="BQ14" s="12">
        <f t="shared" ref="BQ14:BQ18" si="16">B14-$A14</f>
        <v>0.20000000000000284</v>
      </c>
      <c r="BR14" s="12">
        <f t="shared" si="10"/>
        <v>0.10000000000000142</v>
      </c>
      <c r="BS14" s="12">
        <f t="shared" si="10"/>
        <v>0.20000000000000284</v>
      </c>
      <c r="BT14" s="12">
        <f t="shared" si="10"/>
        <v>0.10000000000000142</v>
      </c>
      <c r="BU14" s="12">
        <f t="shared" si="10"/>
        <v>0</v>
      </c>
      <c r="BV14" s="12">
        <f t="shared" si="10"/>
        <v>0.10000000000000142</v>
      </c>
      <c r="BX14" s="11">
        <v>-50</v>
      </c>
      <c r="BY14" s="13">
        <f t="shared" ref="BY14:BY18" si="17">J14-$I14</f>
        <v>0.10000000000000142</v>
      </c>
      <c r="BZ14" s="13">
        <f t="shared" ref="BZ14:BZ18" si="18">K14-$I14</f>
        <v>0.20000000000000284</v>
      </c>
      <c r="CA14" s="13">
        <f t="shared" ref="CA14:CA18" si="19">L14-$I14</f>
        <v>-0.10000000000000142</v>
      </c>
      <c r="CB14" s="13">
        <f t="shared" ref="CB14:CB18" si="20">M14-$I14</f>
        <v>-0.10000000000000142</v>
      </c>
      <c r="CC14" s="13">
        <f t="shared" ref="CC14:CC18" si="21">N14-$I14</f>
        <v>-0.10000000000000142</v>
      </c>
      <c r="CD14" s="13">
        <f t="shared" ref="CD14:CD18" si="22">O14-$I14</f>
        <v>0</v>
      </c>
    </row>
    <row r="15" spans="1:82" x14ac:dyDescent="0.2">
      <c r="A15" s="11">
        <v>0</v>
      </c>
      <c r="B15" s="72">
        <v>-0.1</v>
      </c>
      <c r="C15" s="72">
        <v>0</v>
      </c>
      <c r="D15" s="72">
        <v>-0.2</v>
      </c>
      <c r="E15" s="79">
        <v>0</v>
      </c>
      <c r="F15" s="72">
        <v>0</v>
      </c>
      <c r="G15" s="72">
        <v>0</v>
      </c>
      <c r="H15" s="71" t="str">
        <f t="shared" si="0"/>
        <v/>
      </c>
      <c r="I15" s="11">
        <v>0</v>
      </c>
      <c r="J15" s="72">
        <v>0</v>
      </c>
      <c r="K15" s="72">
        <v>0.1</v>
      </c>
      <c r="L15" s="72">
        <v>-0.1</v>
      </c>
      <c r="M15" s="72">
        <v>0</v>
      </c>
      <c r="N15" s="72">
        <v>0.1</v>
      </c>
      <c r="O15" s="72">
        <v>0.1</v>
      </c>
      <c r="P15" s="71" t="str">
        <f t="shared" si="1"/>
        <v/>
      </c>
      <c r="R15" s="11">
        <v>0</v>
      </c>
      <c r="S15" s="72"/>
      <c r="T15" s="72"/>
      <c r="U15" s="72"/>
      <c r="V15" s="72"/>
      <c r="W15" s="72"/>
      <c r="X15" s="72"/>
      <c r="Z15" s="11">
        <v>0</v>
      </c>
      <c r="AA15" s="72"/>
      <c r="AB15" s="72"/>
      <c r="AC15" s="72"/>
      <c r="AD15" s="72"/>
      <c r="AE15" s="72"/>
      <c r="AF15" s="72"/>
      <c r="AH15" s="11">
        <v>0</v>
      </c>
      <c r="AI15" s="13">
        <f t="shared" ref="AI15:AN15" si="23">IF(B15&gt;($A$15+1),1,0)</f>
        <v>0</v>
      </c>
      <c r="AJ15" s="13">
        <f t="shared" si="23"/>
        <v>0</v>
      </c>
      <c r="AK15" s="13">
        <f t="shared" si="23"/>
        <v>0</v>
      </c>
      <c r="AL15" s="13">
        <f t="shared" si="23"/>
        <v>0</v>
      </c>
      <c r="AM15" s="13">
        <f t="shared" si="23"/>
        <v>0</v>
      </c>
      <c r="AN15" s="13">
        <f t="shared" si="23"/>
        <v>0</v>
      </c>
      <c r="AO15" s="70">
        <f t="shared" si="3"/>
        <v>0</v>
      </c>
      <c r="AP15" s="11">
        <v>0</v>
      </c>
      <c r="AQ15" s="13">
        <f t="shared" ref="AQ15:AV15" si="24">IF(J15&gt;($I$15+1),1,0)</f>
        <v>0</v>
      </c>
      <c r="AR15" s="13">
        <f t="shared" si="24"/>
        <v>0</v>
      </c>
      <c r="AS15" s="13">
        <f t="shared" si="24"/>
        <v>0</v>
      </c>
      <c r="AT15" s="13">
        <f t="shared" si="24"/>
        <v>0</v>
      </c>
      <c r="AU15" s="13">
        <f t="shared" si="24"/>
        <v>0</v>
      </c>
      <c r="AV15" s="13">
        <f t="shared" si="24"/>
        <v>0</v>
      </c>
      <c r="AW15" s="70">
        <f t="shared" si="5"/>
        <v>0</v>
      </c>
      <c r="AX15" s="11">
        <v>0</v>
      </c>
      <c r="AY15" s="13">
        <f t="shared" ref="AY15:BD15" si="25">IF(B15&lt;($A$15-1),1,0)</f>
        <v>0</v>
      </c>
      <c r="AZ15" s="13">
        <f t="shared" si="25"/>
        <v>0</v>
      </c>
      <c r="BA15" s="13">
        <f t="shared" si="25"/>
        <v>0</v>
      </c>
      <c r="BB15" s="13">
        <f t="shared" si="25"/>
        <v>0</v>
      </c>
      <c r="BC15" s="13">
        <f t="shared" si="25"/>
        <v>0</v>
      </c>
      <c r="BD15" s="13">
        <f t="shared" si="25"/>
        <v>0</v>
      </c>
      <c r="BE15" s="70">
        <f t="shared" si="7"/>
        <v>0</v>
      </c>
      <c r="BF15" s="11">
        <v>0</v>
      </c>
      <c r="BG15" s="13">
        <f t="shared" ref="BG15:BL15" si="26">IF(J15&lt;($I$15-1),1,0)</f>
        <v>0</v>
      </c>
      <c r="BH15" s="13">
        <f t="shared" si="26"/>
        <v>0</v>
      </c>
      <c r="BI15" s="13">
        <f t="shared" si="26"/>
        <v>0</v>
      </c>
      <c r="BJ15" s="13">
        <f t="shared" si="26"/>
        <v>0</v>
      </c>
      <c r="BK15" s="13">
        <f t="shared" si="26"/>
        <v>0</v>
      </c>
      <c r="BL15" s="13">
        <f t="shared" si="26"/>
        <v>0</v>
      </c>
      <c r="BM15" s="70">
        <f t="shared" si="9"/>
        <v>0</v>
      </c>
      <c r="BP15" s="11">
        <v>0</v>
      </c>
      <c r="BQ15" s="12">
        <f t="shared" si="16"/>
        <v>-0.1</v>
      </c>
      <c r="BR15" s="12">
        <f t="shared" si="10"/>
        <v>0</v>
      </c>
      <c r="BS15" s="12">
        <f t="shared" si="10"/>
        <v>-0.2</v>
      </c>
      <c r="BT15" s="12">
        <f t="shared" si="10"/>
        <v>0</v>
      </c>
      <c r="BU15" s="12">
        <f t="shared" si="10"/>
        <v>0</v>
      </c>
      <c r="BV15" s="12">
        <f t="shared" si="10"/>
        <v>0</v>
      </c>
      <c r="BX15" s="11">
        <v>0</v>
      </c>
      <c r="BY15" s="13">
        <f t="shared" si="17"/>
        <v>0</v>
      </c>
      <c r="BZ15" s="13">
        <f t="shared" si="18"/>
        <v>0.1</v>
      </c>
      <c r="CA15" s="13">
        <f t="shared" si="19"/>
        <v>-0.1</v>
      </c>
      <c r="CB15" s="13">
        <f t="shared" si="20"/>
        <v>0</v>
      </c>
      <c r="CC15" s="13">
        <f t="shared" si="21"/>
        <v>0.1</v>
      </c>
      <c r="CD15" s="13">
        <f t="shared" si="22"/>
        <v>0.1</v>
      </c>
    </row>
    <row r="16" spans="1:82" x14ac:dyDescent="0.2">
      <c r="A16" s="11">
        <v>250</v>
      </c>
      <c r="B16" s="72">
        <v>249.8</v>
      </c>
      <c r="C16" s="72">
        <v>249.9</v>
      </c>
      <c r="D16" s="72">
        <v>249.9</v>
      </c>
      <c r="E16" s="72">
        <v>250</v>
      </c>
      <c r="F16" s="72">
        <v>249.9</v>
      </c>
      <c r="G16" s="72">
        <v>250</v>
      </c>
      <c r="H16" s="71" t="str">
        <f t="shared" si="0"/>
        <v/>
      </c>
      <c r="I16" s="11">
        <v>250</v>
      </c>
      <c r="J16" s="72">
        <v>250.1</v>
      </c>
      <c r="K16" s="72">
        <v>250.1</v>
      </c>
      <c r="L16" s="72">
        <v>250.2</v>
      </c>
      <c r="M16" s="72">
        <v>250.1</v>
      </c>
      <c r="N16" s="72">
        <v>249.8</v>
      </c>
      <c r="O16" s="72">
        <v>249.9</v>
      </c>
      <c r="P16" s="71" t="str">
        <f t="shared" si="1"/>
        <v/>
      </c>
      <c r="R16" s="11">
        <v>250</v>
      </c>
      <c r="S16" s="72"/>
      <c r="T16" s="72"/>
      <c r="U16" s="72"/>
      <c r="V16" s="72"/>
      <c r="W16" s="72"/>
      <c r="X16" s="72"/>
      <c r="Z16" s="11">
        <v>250</v>
      </c>
      <c r="AA16" s="72"/>
      <c r="AB16" s="72"/>
      <c r="AC16" s="72"/>
      <c r="AD16" s="72"/>
      <c r="AE16" s="72"/>
      <c r="AF16" s="72"/>
      <c r="AH16" s="11">
        <v>250</v>
      </c>
      <c r="AI16" s="13">
        <f t="shared" ref="AI16:AN16" si="27">IF(B16&gt;($A$16+1),1,0)</f>
        <v>0</v>
      </c>
      <c r="AJ16" s="13">
        <f t="shared" si="27"/>
        <v>0</v>
      </c>
      <c r="AK16" s="13">
        <f t="shared" si="27"/>
        <v>0</v>
      </c>
      <c r="AL16" s="13">
        <f t="shared" si="27"/>
        <v>0</v>
      </c>
      <c r="AM16" s="13">
        <f t="shared" si="27"/>
        <v>0</v>
      </c>
      <c r="AN16" s="13">
        <f t="shared" si="27"/>
        <v>0</v>
      </c>
      <c r="AO16" s="70">
        <f t="shared" si="3"/>
        <v>0</v>
      </c>
      <c r="AP16" s="11">
        <v>250</v>
      </c>
      <c r="AQ16" s="13">
        <f t="shared" ref="AQ16:AV16" si="28">IF(J16&gt;($I$16+1),1,0)</f>
        <v>0</v>
      </c>
      <c r="AR16" s="13">
        <f t="shared" si="28"/>
        <v>0</v>
      </c>
      <c r="AS16" s="13">
        <f t="shared" si="28"/>
        <v>0</v>
      </c>
      <c r="AT16" s="13">
        <f t="shared" si="28"/>
        <v>0</v>
      </c>
      <c r="AU16" s="13">
        <f t="shared" si="28"/>
        <v>0</v>
      </c>
      <c r="AV16" s="13">
        <f t="shared" si="28"/>
        <v>0</v>
      </c>
      <c r="AW16" s="70">
        <f t="shared" si="5"/>
        <v>0</v>
      </c>
      <c r="AX16" s="11">
        <v>250</v>
      </c>
      <c r="AY16" s="13">
        <f t="shared" ref="AY16:BD16" si="29">IF(B16&lt;($A$16-1),1,0)</f>
        <v>0</v>
      </c>
      <c r="AZ16" s="13">
        <f t="shared" si="29"/>
        <v>0</v>
      </c>
      <c r="BA16" s="13">
        <f t="shared" si="29"/>
        <v>0</v>
      </c>
      <c r="BB16" s="13">
        <f t="shared" si="29"/>
        <v>0</v>
      </c>
      <c r="BC16" s="13">
        <f t="shared" si="29"/>
        <v>0</v>
      </c>
      <c r="BD16" s="13">
        <f t="shared" si="29"/>
        <v>0</v>
      </c>
      <c r="BE16" s="70">
        <f t="shared" si="7"/>
        <v>0</v>
      </c>
      <c r="BF16" s="11">
        <v>250</v>
      </c>
      <c r="BG16" s="13">
        <f t="shared" ref="BG16:BL16" si="30">IF(J16&lt;($I$16-1),1,0)</f>
        <v>0</v>
      </c>
      <c r="BH16" s="13">
        <f t="shared" si="30"/>
        <v>0</v>
      </c>
      <c r="BI16" s="13">
        <f t="shared" si="30"/>
        <v>0</v>
      </c>
      <c r="BJ16" s="13">
        <f t="shared" si="30"/>
        <v>0</v>
      </c>
      <c r="BK16" s="13">
        <f t="shared" si="30"/>
        <v>0</v>
      </c>
      <c r="BL16" s="13">
        <f t="shared" si="30"/>
        <v>0</v>
      </c>
      <c r="BM16" s="70">
        <f t="shared" si="9"/>
        <v>0</v>
      </c>
      <c r="BP16" s="11">
        <v>250</v>
      </c>
      <c r="BQ16" s="12">
        <f t="shared" si="16"/>
        <v>-0.19999999999998863</v>
      </c>
      <c r="BR16" s="12">
        <f t="shared" si="10"/>
        <v>-9.9999999999994316E-2</v>
      </c>
      <c r="BS16" s="12">
        <f t="shared" si="10"/>
        <v>-9.9999999999994316E-2</v>
      </c>
      <c r="BT16" s="12">
        <f t="shared" si="10"/>
        <v>0</v>
      </c>
      <c r="BU16" s="12">
        <f t="shared" si="10"/>
        <v>-9.9999999999994316E-2</v>
      </c>
      <c r="BV16" s="12">
        <f t="shared" si="10"/>
        <v>0</v>
      </c>
      <c r="BX16" s="11">
        <v>250</v>
      </c>
      <c r="BY16" s="13">
        <f t="shared" si="17"/>
        <v>9.9999999999994316E-2</v>
      </c>
      <c r="BZ16" s="13">
        <f t="shared" si="18"/>
        <v>9.9999999999994316E-2</v>
      </c>
      <c r="CA16" s="13">
        <f t="shared" si="19"/>
        <v>0.19999999999998863</v>
      </c>
      <c r="CB16" s="13">
        <f t="shared" si="20"/>
        <v>9.9999999999994316E-2</v>
      </c>
      <c r="CC16" s="13">
        <f t="shared" si="21"/>
        <v>-0.19999999999998863</v>
      </c>
      <c r="CD16" s="13">
        <f t="shared" si="22"/>
        <v>-9.9999999999994316E-2</v>
      </c>
    </row>
    <row r="17" spans="1:82" x14ac:dyDescent="0.2">
      <c r="A17" s="11">
        <v>500</v>
      </c>
      <c r="B17" s="72">
        <v>499.8</v>
      </c>
      <c r="C17" s="72">
        <v>499.9</v>
      </c>
      <c r="D17" s="72">
        <v>499.9</v>
      </c>
      <c r="E17" s="72">
        <v>499.9</v>
      </c>
      <c r="F17" s="72">
        <v>499.9</v>
      </c>
      <c r="G17" s="72">
        <v>499.9</v>
      </c>
      <c r="H17" s="71" t="str">
        <f t="shared" si="0"/>
        <v/>
      </c>
      <c r="I17" s="11">
        <v>500</v>
      </c>
      <c r="J17" s="72">
        <v>500.1</v>
      </c>
      <c r="K17" s="72">
        <v>500.1</v>
      </c>
      <c r="L17" s="72">
        <v>500.2</v>
      </c>
      <c r="M17" s="72">
        <v>500.1</v>
      </c>
      <c r="N17" s="72">
        <v>499.9</v>
      </c>
      <c r="O17" s="72">
        <v>500</v>
      </c>
      <c r="P17" s="71" t="str">
        <f t="shared" si="1"/>
        <v/>
      </c>
      <c r="R17" s="11">
        <v>500</v>
      </c>
      <c r="S17" s="72"/>
      <c r="T17" s="72"/>
      <c r="U17" s="72"/>
      <c r="V17" s="72"/>
      <c r="W17" s="72"/>
      <c r="X17" s="72"/>
      <c r="Z17" s="11">
        <v>500</v>
      </c>
      <c r="AA17" s="72"/>
      <c r="AB17" s="72"/>
      <c r="AC17" s="72"/>
      <c r="AD17" s="72"/>
      <c r="AE17" s="72"/>
      <c r="AF17" s="72"/>
      <c r="AH17" s="11">
        <v>500</v>
      </c>
      <c r="AI17" s="13">
        <f t="shared" ref="AI17:AN17" si="31">IF(B17&gt;($A$17+1),1,0)</f>
        <v>0</v>
      </c>
      <c r="AJ17" s="13">
        <f t="shared" si="31"/>
        <v>0</v>
      </c>
      <c r="AK17" s="13">
        <f t="shared" si="31"/>
        <v>0</v>
      </c>
      <c r="AL17" s="13">
        <f t="shared" si="31"/>
        <v>0</v>
      </c>
      <c r="AM17" s="13">
        <f t="shared" si="31"/>
        <v>0</v>
      </c>
      <c r="AN17" s="13">
        <f t="shared" si="31"/>
        <v>0</v>
      </c>
      <c r="AO17" s="70">
        <f t="shared" si="3"/>
        <v>0</v>
      </c>
      <c r="AP17" s="11">
        <v>500</v>
      </c>
      <c r="AQ17" s="13">
        <f t="shared" ref="AQ17:AV17" si="32">IF(J17&gt;($I$17+1),1,0)</f>
        <v>0</v>
      </c>
      <c r="AR17" s="13">
        <f t="shared" si="32"/>
        <v>0</v>
      </c>
      <c r="AS17" s="13">
        <f t="shared" si="32"/>
        <v>0</v>
      </c>
      <c r="AT17" s="13">
        <f t="shared" si="32"/>
        <v>0</v>
      </c>
      <c r="AU17" s="13">
        <f t="shared" si="32"/>
        <v>0</v>
      </c>
      <c r="AV17" s="13">
        <f t="shared" si="32"/>
        <v>0</v>
      </c>
      <c r="AW17" s="70">
        <f t="shared" si="5"/>
        <v>0</v>
      </c>
      <c r="AX17" s="11">
        <v>500</v>
      </c>
      <c r="AY17" s="13">
        <f t="shared" ref="AY17:BD17" si="33">IF(B17&lt;($A$17-1),1,0)</f>
        <v>0</v>
      </c>
      <c r="AZ17" s="13">
        <f t="shared" si="33"/>
        <v>0</v>
      </c>
      <c r="BA17" s="13">
        <f t="shared" si="33"/>
        <v>0</v>
      </c>
      <c r="BB17" s="13">
        <f t="shared" si="33"/>
        <v>0</v>
      </c>
      <c r="BC17" s="13">
        <f t="shared" si="33"/>
        <v>0</v>
      </c>
      <c r="BD17" s="13">
        <f t="shared" si="33"/>
        <v>0</v>
      </c>
      <c r="BE17" s="70">
        <f t="shared" si="7"/>
        <v>0</v>
      </c>
      <c r="BF17" s="11">
        <v>500</v>
      </c>
      <c r="BG17" s="13">
        <f t="shared" ref="BG17:BL17" si="34">IF(J17&lt;($I$17-1),1,0)</f>
        <v>0</v>
      </c>
      <c r="BH17" s="13">
        <f t="shared" si="34"/>
        <v>0</v>
      </c>
      <c r="BI17" s="13">
        <f t="shared" si="34"/>
        <v>0</v>
      </c>
      <c r="BJ17" s="13">
        <f t="shared" si="34"/>
        <v>0</v>
      </c>
      <c r="BK17" s="13">
        <f t="shared" si="34"/>
        <v>0</v>
      </c>
      <c r="BL17" s="13">
        <f t="shared" si="34"/>
        <v>0</v>
      </c>
      <c r="BM17" s="70">
        <f t="shared" si="9"/>
        <v>0</v>
      </c>
      <c r="BP17" s="11">
        <v>500</v>
      </c>
      <c r="BQ17" s="12">
        <f t="shared" si="16"/>
        <v>-0.19999999999998863</v>
      </c>
      <c r="BR17" s="12">
        <f t="shared" si="10"/>
        <v>-0.10000000000002274</v>
      </c>
      <c r="BS17" s="12">
        <f t="shared" si="10"/>
        <v>-0.10000000000002274</v>
      </c>
      <c r="BT17" s="12">
        <f t="shared" si="10"/>
        <v>-0.10000000000002274</v>
      </c>
      <c r="BU17" s="12">
        <f t="shared" si="10"/>
        <v>-0.10000000000002274</v>
      </c>
      <c r="BV17" s="12">
        <f t="shared" si="10"/>
        <v>-0.10000000000002274</v>
      </c>
      <c r="BX17" s="11">
        <v>500</v>
      </c>
      <c r="BY17" s="13">
        <f t="shared" si="17"/>
        <v>0.10000000000002274</v>
      </c>
      <c r="BZ17" s="13">
        <f t="shared" si="18"/>
        <v>0.10000000000002274</v>
      </c>
      <c r="CA17" s="13">
        <f t="shared" si="19"/>
        <v>0.19999999999998863</v>
      </c>
      <c r="CB17" s="13">
        <f t="shared" si="20"/>
        <v>0.10000000000002274</v>
      </c>
      <c r="CC17" s="13">
        <f t="shared" si="21"/>
        <v>-0.10000000000002274</v>
      </c>
      <c r="CD17" s="13">
        <f t="shared" si="22"/>
        <v>0</v>
      </c>
    </row>
    <row r="18" spans="1:82" x14ac:dyDescent="0.2">
      <c r="A18" s="11">
        <v>1000</v>
      </c>
      <c r="B18" s="72">
        <v>999.9</v>
      </c>
      <c r="C18" s="72">
        <v>999.8</v>
      </c>
      <c r="D18" s="72">
        <v>999.9</v>
      </c>
      <c r="E18" s="72">
        <v>999.9</v>
      </c>
      <c r="F18" s="72">
        <v>999.8</v>
      </c>
      <c r="G18" s="72">
        <v>999.9</v>
      </c>
      <c r="H18" s="71" t="str">
        <f t="shared" si="0"/>
        <v/>
      </c>
      <c r="I18" s="11">
        <v>1000</v>
      </c>
      <c r="J18" s="72">
        <v>1000.2</v>
      </c>
      <c r="K18" s="72">
        <v>1000.1</v>
      </c>
      <c r="L18" s="72">
        <v>1000.3</v>
      </c>
      <c r="M18" s="72">
        <v>1000.2</v>
      </c>
      <c r="N18" s="72">
        <v>999.9</v>
      </c>
      <c r="O18" s="72">
        <v>1000</v>
      </c>
      <c r="P18" s="71" t="str">
        <f t="shared" si="1"/>
        <v/>
      </c>
      <c r="R18" s="11">
        <v>1000</v>
      </c>
      <c r="S18" s="72"/>
      <c r="T18" s="72"/>
      <c r="U18" s="72"/>
      <c r="V18" s="72"/>
      <c r="W18" s="72"/>
      <c r="X18" s="72"/>
      <c r="Z18" s="11">
        <v>1000</v>
      </c>
      <c r="AA18" s="72"/>
      <c r="AB18" s="72"/>
      <c r="AC18" s="72"/>
      <c r="AD18" s="72"/>
      <c r="AE18" s="72"/>
      <c r="AF18" s="72"/>
      <c r="AH18" s="11">
        <v>1000</v>
      </c>
      <c r="AI18" s="13">
        <f t="shared" ref="AI18:AN18" si="35">IF(B18&gt;($A$18+1),1,0)</f>
        <v>0</v>
      </c>
      <c r="AJ18" s="13">
        <f t="shared" si="35"/>
        <v>0</v>
      </c>
      <c r="AK18" s="13">
        <f t="shared" si="35"/>
        <v>0</v>
      </c>
      <c r="AL18" s="13">
        <f t="shared" si="35"/>
        <v>0</v>
      </c>
      <c r="AM18" s="13">
        <f t="shared" si="35"/>
        <v>0</v>
      </c>
      <c r="AN18" s="13">
        <f t="shared" si="35"/>
        <v>0</v>
      </c>
      <c r="AO18" s="70">
        <f t="shared" si="3"/>
        <v>0</v>
      </c>
      <c r="AP18" s="11">
        <v>1000</v>
      </c>
      <c r="AQ18" s="13">
        <f t="shared" ref="AQ18:AV18" si="36">IF(J18&gt;($I$18+1),1,0)</f>
        <v>0</v>
      </c>
      <c r="AR18" s="13">
        <f t="shared" si="36"/>
        <v>0</v>
      </c>
      <c r="AS18" s="13">
        <f t="shared" si="36"/>
        <v>0</v>
      </c>
      <c r="AT18" s="13">
        <f t="shared" si="36"/>
        <v>0</v>
      </c>
      <c r="AU18" s="13">
        <f t="shared" si="36"/>
        <v>0</v>
      </c>
      <c r="AV18" s="13">
        <f t="shared" si="36"/>
        <v>0</v>
      </c>
      <c r="AW18" s="70">
        <f t="shared" si="5"/>
        <v>0</v>
      </c>
      <c r="AX18" s="11">
        <v>1000</v>
      </c>
      <c r="AY18" s="13">
        <f t="shared" ref="AY18:BD18" si="37">IF(B18&lt;($A$18-1),1,0)</f>
        <v>0</v>
      </c>
      <c r="AZ18" s="13">
        <f t="shared" si="37"/>
        <v>0</v>
      </c>
      <c r="BA18" s="13">
        <f t="shared" si="37"/>
        <v>0</v>
      </c>
      <c r="BB18" s="13">
        <f t="shared" si="37"/>
        <v>0</v>
      </c>
      <c r="BC18" s="13">
        <f t="shared" si="37"/>
        <v>0</v>
      </c>
      <c r="BD18" s="13">
        <f t="shared" si="37"/>
        <v>0</v>
      </c>
      <c r="BE18" s="70">
        <f t="shared" si="7"/>
        <v>0</v>
      </c>
      <c r="BF18" s="11">
        <v>1000</v>
      </c>
      <c r="BG18" s="13">
        <f t="shared" ref="BG18:BL18" si="38">IF(J18&lt;($I$18-1),1,0)</f>
        <v>0</v>
      </c>
      <c r="BH18" s="13">
        <f t="shared" si="38"/>
        <v>0</v>
      </c>
      <c r="BI18" s="13">
        <f t="shared" si="38"/>
        <v>0</v>
      </c>
      <c r="BJ18" s="13">
        <f t="shared" si="38"/>
        <v>0</v>
      </c>
      <c r="BK18" s="13">
        <f t="shared" si="38"/>
        <v>0</v>
      </c>
      <c r="BL18" s="13">
        <f t="shared" si="38"/>
        <v>0</v>
      </c>
      <c r="BM18" s="70">
        <f t="shared" si="9"/>
        <v>0</v>
      </c>
      <c r="BP18" s="11">
        <v>1000</v>
      </c>
      <c r="BQ18" s="12">
        <f t="shared" si="16"/>
        <v>-0.10000000000002274</v>
      </c>
      <c r="BR18" s="12">
        <f t="shared" si="10"/>
        <v>-0.20000000000004547</v>
      </c>
      <c r="BS18" s="12">
        <f t="shared" si="10"/>
        <v>-0.10000000000002274</v>
      </c>
      <c r="BT18" s="12">
        <f t="shared" si="10"/>
        <v>-0.10000000000002274</v>
      </c>
      <c r="BU18" s="12">
        <f t="shared" si="10"/>
        <v>-0.20000000000004547</v>
      </c>
      <c r="BV18" s="12">
        <f t="shared" si="10"/>
        <v>-0.10000000000002274</v>
      </c>
      <c r="BX18" s="11">
        <v>1000</v>
      </c>
      <c r="BY18" s="13">
        <f t="shared" si="17"/>
        <v>0.20000000000004547</v>
      </c>
      <c r="BZ18" s="13">
        <f t="shared" si="18"/>
        <v>0.10000000000002274</v>
      </c>
      <c r="CA18" s="13">
        <f t="shared" si="19"/>
        <v>0.29999999999995453</v>
      </c>
      <c r="CB18" s="13">
        <f t="shared" si="20"/>
        <v>0.20000000000004547</v>
      </c>
      <c r="CC18" s="13">
        <f t="shared" si="21"/>
        <v>-0.10000000000002274</v>
      </c>
      <c r="CD18" s="13">
        <f t="shared" si="22"/>
        <v>0</v>
      </c>
    </row>
    <row r="19" spans="1:82" x14ac:dyDescent="0.2">
      <c r="A19" s="14"/>
      <c r="R19" s="14"/>
      <c r="AH19" s="67"/>
      <c r="AV19" s="68"/>
      <c r="AX19" s="67"/>
      <c r="BL19" s="68"/>
    </row>
    <row r="20" spans="1:82" x14ac:dyDescent="0.2">
      <c r="A20" s="11" t="s">
        <v>9</v>
      </c>
      <c r="B20" s="12">
        <v>7</v>
      </c>
      <c r="C20" s="12">
        <v>8</v>
      </c>
      <c r="D20" s="12">
        <v>9</v>
      </c>
      <c r="E20" s="12">
        <v>10</v>
      </c>
      <c r="F20" s="12">
        <v>11</v>
      </c>
      <c r="G20" s="12">
        <v>12</v>
      </c>
      <c r="I20" s="11" t="s">
        <v>9</v>
      </c>
      <c r="J20" s="12">
        <v>31</v>
      </c>
      <c r="K20" s="12">
        <v>32</v>
      </c>
      <c r="L20" s="12">
        <v>33</v>
      </c>
      <c r="M20" s="12">
        <v>34</v>
      </c>
      <c r="N20" s="12">
        <v>35</v>
      </c>
      <c r="O20" s="12">
        <v>36</v>
      </c>
      <c r="R20" s="11" t="s">
        <v>9</v>
      </c>
      <c r="S20" s="12">
        <v>7</v>
      </c>
      <c r="T20" s="12">
        <v>8</v>
      </c>
      <c r="U20" s="12">
        <v>9</v>
      </c>
      <c r="V20" s="12">
        <v>10</v>
      </c>
      <c r="W20" s="12">
        <v>11</v>
      </c>
      <c r="X20" s="12">
        <v>12</v>
      </c>
      <c r="Z20" s="11" t="s">
        <v>9</v>
      </c>
      <c r="AA20" s="12">
        <v>31</v>
      </c>
      <c r="AB20" s="12">
        <v>32</v>
      </c>
      <c r="AC20" s="12">
        <v>33</v>
      </c>
      <c r="AD20" s="12">
        <v>34</v>
      </c>
      <c r="AE20" s="12">
        <v>35</v>
      </c>
      <c r="AF20" s="12">
        <v>36</v>
      </c>
      <c r="AH20" s="11" t="s">
        <v>9</v>
      </c>
      <c r="AI20" s="12">
        <v>7</v>
      </c>
      <c r="AJ20" s="12">
        <v>8</v>
      </c>
      <c r="AK20" s="12">
        <v>9</v>
      </c>
      <c r="AL20" s="12">
        <v>10</v>
      </c>
      <c r="AM20" s="12">
        <v>11</v>
      </c>
      <c r="AN20" s="12">
        <v>12</v>
      </c>
      <c r="AP20" s="11" t="s">
        <v>9</v>
      </c>
      <c r="AQ20" s="12">
        <v>31</v>
      </c>
      <c r="AR20" s="12">
        <v>32</v>
      </c>
      <c r="AS20" s="12">
        <v>33</v>
      </c>
      <c r="AT20" s="12">
        <v>34</v>
      </c>
      <c r="AU20" s="12">
        <v>35</v>
      </c>
      <c r="AV20" s="12">
        <v>36</v>
      </c>
      <c r="AX20" s="11" t="s">
        <v>9</v>
      </c>
      <c r="AY20" s="12">
        <v>7</v>
      </c>
      <c r="AZ20" s="12">
        <v>8</v>
      </c>
      <c r="BA20" s="12">
        <v>9</v>
      </c>
      <c r="BB20" s="12">
        <v>10</v>
      </c>
      <c r="BC20" s="12">
        <v>11</v>
      </c>
      <c r="BD20" s="12">
        <v>12</v>
      </c>
      <c r="BF20" s="11" t="s">
        <v>9</v>
      </c>
      <c r="BG20" s="12">
        <v>31</v>
      </c>
      <c r="BH20" s="12">
        <v>32</v>
      </c>
      <c r="BI20" s="12">
        <v>33</v>
      </c>
      <c r="BJ20" s="12">
        <v>34</v>
      </c>
      <c r="BK20" s="12">
        <v>35</v>
      </c>
      <c r="BL20" s="12">
        <v>36</v>
      </c>
      <c r="BP20" s="11" t="s">
        <v>9</v>
      </c>
      <c r="BQ20" s="12">
        <v>7</v>
      </c>
      <c r="BR20" s="12">
        <v>8</v>
      </c>
      <c r="BS20" s="12">
        <v>9</v>
      </c>
      <c r="BT20" s="12">
        <v>10</v>
      </c>
      <c r="BU20" s="12">
        <v>11</v>
      </c>
      <c r="BV20" s="12">
        <v>12</v>
      </c>
      <c r="BX20" s="11" t="s">
        <v>9</v>
      </c>
      <c r="BY20" s="12">
        <v>31</v>
      </c>
      <c r="BZ20" s="12">
        <v>32</v>
      </c>
      <c r="CA20" s="12">
        <v>33</v>
      </c>
      <c r="CB20" s="12">
        <v>34</v>
      </c>
      <c r="CC20" s="12">
        <v>35</v>
      </c>
      <c r="CD20" s="12">
        <v>36</v>
      </c>
    </row>
    <row r="21" spans="1:82" x14ac:dyDescent="0.2">
      <c r="A21" s="11">
        <v>-100</v>
      </c>
      <c r="B21" s="72">
        <v>-99.9</v>
      </c>
      <c r="C21" s="72">
        <v>-100</v>
      </c>
      <c r="D21" s="72">
        <v>-99.7</v>
      </c>
      <c r="E21" s="72">
        <v>-100.1</v>
      </c>
      <c r="F21" s="72">
        <v>-99.8</v>
      </c>
      <c r="G21" s="72">
        <v>-100.1</v>
      </c>
      <c r="H21" s="71" t="str">
        <f t="shared" ref="H21:H26" si="39">IF((AO21+BE21)&gt;0,"OOT","")</f>
        <v/>
      </c>
      <c r="I21" s="11">
        <v>-100</v>
      </c>
      <c r="J21" s="72">
        <v>-100.1</v>
      </c>
      <c r="K21" s="72">
        <v>-100</v>
      </c>
      <c r="L21" s="72">
        <v>-100.2</v>
      </c>
      <c r="M21" s="72">
        <v>-100.2</v>
      </c>
      <c r="N21" s="72">
        <v>-100.2</v>
      </c>
      <c r="O21" s="72">
        <v>-100.3</v>
      </c>
      <c r="P21" s="71" t="str">
        <f t="shared" ref="P21:P26" si="40">IF((AW21+BM21)&gt;0,"OOT","")</f>
        <v/>
      </c>
      <c r="R21" s="11">
        <v>-100</v>
      </c>
      <c r="S21" s="72"/>
      <c r="T21" s="72"/>
      <c r="U21" s="72"/>
      <c r="V21" s="72"/>
      <c r="W21" s="72"/>
      <c r="X21" s="72"/>
      <c r="Z21" s="11">
        <v>-100</v>
      </c>
      <c r="AA21" s="72"/>
      <c r="AB21" s="72"/>
      <c r="AC21" s="72"/>
      <c r="AD21" s="72"/>
      <c r="AE21" s="72"/>
      <c r="AF21" s="72"/>
      <c r="AH21" s="11">
        <v>-100</v>
      </c>
      <c r="AI21" s="13">
        <f t="shared" ref="AI21:AN21" si="41">IF(B21&gt;($A$21+1),1,0)</f>
        <v>0</v>
      </c>
      <c r="AJ21" s="13">
        <f t="shared" si="41"/>
        <v>0</v>
      </c>
      <c r="AK21" s="13">
        <f t="shared" si="41"/>
        <v>0</v>
      </c>
      <c r="AL21" s="13">
        <f t="shared" si="41"/>
        <v>0</v>
      </c>
      <c r="AM21" s="13">
        <f t="shared" si="41"/>
        <v>0</v>
      </c>
      <c r="AN21" s="13">
        <f t="shared" si="41"/>
        <v>0</v>
      </c>
      <c r="AO21" s="70">
        <f t="shared" ref="AO21:AO26" si="42">SUM(AI21:AN21)</f>
        <v>0</v>
      </c>
      <c r="AP21" s="11">
        <v>-100</v>
      </c>
      <c r="AQ21" s="13">
        <f t="shared" ref="AQ21:AV21" si="43">IF(J21&gt;($I$21+1),1,0)</f>
        <v>0</v>
      </c>
      <c r="AR21" s="13">
        <f t="shared" si="43"/>
        <v>0</v>
      </c>
      <c r="AS21" s="13">
        <f t="shared" si="43"/>
        <v>0</v>
      </c>
      <c r="AT21" s="13">
        <f t="shared" si="43"/>
        <v>0</v>
      </c>
      <c r="AU21" s="13">
        <f t="shared" si="43"/>
        <v>0</v>
      </c>
      <c r="AV21" s="13">
        <f t="shared" si="43"/>
        <v>0</v>
      </c>
      <c r="AW21" s="70">
        <f t="shared" ref="AW21:AW26" si="44">SUM(AQ21:AV21)</f>
        <v>0</v>
      </c>
      <c r="AX21" s="11">
        <v>-100</v>
      </c>
      <c r="AY21" s="13">
        <f t="shared" ref="AY21:BD21" si="45">IF(B21&lt;($A$21-1),1,0)</f>
        <v>0</v>
      </c>
      <c r="AZ21" s="13">
        <f t="shared" si="45"/>
        <v>0</v>
      </c>
      <c r="BA21" s="13">
        <f t="shared" si="45"/>
        <v>0</v>
      </c>
      <c r="BB21" s="13">
        <f t="shared" si="45"/>
        <v>0</v>
      </c>
      <c r="BC21" s="13">
        <f t="shared" si="45"/>
        <v>0</v>
      </c>
      <c r="BD21" s="13">
        <f t="shared" si="45"/>
        <v>0</v>
      </c>
      <c r="BE21" s="70">
        <f t="shared" ref="BE21:BE26" si="46">SUM(AY21:BD21)</f>
        <v>0</v>
      </c>
      <c r="BF21" s="11">
        <v>-100</v>
      </c>
      <c r="BG21" s="13">
        <f t="shared" ref="BG21:BL21" si="47">IF(J21&lt;($I$21-1),1,0)</f>
        <v>0</v>
      </c>
      <c r="BH21" s="13">
        <f t="shared" si="47"/>
        <v>0</v>
      </c>
      <c r="BI21" s="13">
        <f t="shared" si="47"/>
        <v>0</v>
      </c>
      <c r="BJ21" s="13">
        <f t="shared" si="47"/>
        <v>0</v>
      </c>
      <c r="BK21" s="13">
        <f t="shared" si="47"/>
        <v>0</v>
      </c>
      <c r="BL21" s="13">
        <f t="shared" si="47"/>
        <v>0</v>
      </c>
      <c r="BM21" s="70">
        <f t="shared" ref="BM21:BM26" si="48">SUM(BG21:BL21)</f>
        <v>0</v>
      </c>
      <c r="BP21" s="11">
        <v>-100</v>
      </c>
      <c r="BQ21" s="12">
        <f>B21-$A21</f>
        <v>9.9999999999994316E-2</v>
      </c>
      <c r="BR21" s="12">
        <f t="shared" ref="BR21:BV26" si="49">C21-$A21</f>
        <v>0</v>
      </c>
      <c r="BS21" s="12">
        <f t="shared" si="49"/>
        <v>0.29999999999999716</v>
      </c>
      <c r="BT21" s="12">
        <f t="shared" si="49"/>
        <v>-9.9999999999994316E-2</v>
      </c>
      <c r="BU21" s="12">
        <f t="shared" si="49"/>
        <v>0.20000000000000284</v>
      </c>
      <c r="BV21" s="12">
        <f t="shared" si="49"/>
        <v>-9.9999999999994316E-2</v>
      </c>
      <c r="BX21" s="11">
        <v>-100</v>
      </c>
      <c r="BY21" s="13">
        <f>J21-$I21</f>
        <v>-9.9999999999994316E-2</v>
      </c>
      <c r="BZ21" s="13">
        <f t="shared" ref="BZ21:BZ26" si="50">K21-$I21</f>
        <v>0</v>
      </c>
      <c r="CA21" s="13">
        <f t="shared" ref="CA21:CA26" si="51">L21-$I21</f>
        <v>-0.20000000000000284</v>
      </c>
      <c r="CB21" s="13">
        <f t="shared" ref="CB21:CB26" si="52">M21-$I21</f>
        <v>-0.20000000000000284</v>
      </c>
      <c r="CC21" s="13">
        <f t="shared" ref="CC21:CC26" si="53">N21-$I21</f>
        <v>-0.20000000000000284</v>
      </c>
      <c r="CD21" s="13">
        <f t="shared" ref="CD21:CD26" si="54">O21-$I21</f>
        <v>-0.29999999999999716</v>
      </c>
    </row>
    <row r="22" spans="1:82" x14ac:dyDescent="0.2">
      <c r="A22" s="11">
        <v>-50</v>
      </c>
      <c r="B22" s="72">
        <v>-50</v>
      </c>
      <c r="C22" s="72">
        <v>-50</v>
      </c>
      <c r="D22" s="72">
        <v>-49.7</v>
      </c>
      <c r="E22" s="72">
        <v>-50.1</v>
      </c>
      <c r="F22" s="72">
        <v>-49.8</v>
      </c>
      <c r="G22" s="72">
        <v>-50.1</v>
      </c>
      <c r="H22" s="71" t="str">
        <f t="shared" si="39"/>
        <v/>
      </c>
      <c r="I22" s="11">
        <v>-50</v>
      </c>
      <c r="J22" s="72">
        <v>-49.9</v>
      </c>
      <c r="K22" s="72">
        <v>-50</v>
      </c>
      <c r="L22" s="72">
        <v>-50.1</v>
      </c>
      <c r="M22" s="72">
        <v>-50.2</v>
      </c>
      <c r="N22" s="72">
        <v>-50.1</v>
      </c>
      <c r="O22" s="72">
        <v>-50.2</v>
      </c>
      <c r="P22" s="71" t="str">
        <f t="shared" si="40"/>
        <v/>
      </c>
      <c r="R22" s="11">
        <v>-50</v>
      </c>
      <c r="S22" s="72"/>
      <c r="T22" s="72"/>
      <c r="U22" s="72"/>
      <c r="V22" s="72"/>
      <c r="W22" s="72"/>
      <c r="X22" s="72"/>
      <c r="Z22" s="11">
        <v>-50</v>
      </c>
      <c r="AA22" s="72"/>
      <c r="AB22" s="72"/>
      <c r="AC22" s="72"/>
      <c r="AD22" s="72"/>
      <c r="AE22" s="72"/>
      <c r="AF22" s="72"/>
      <c r="AH22" s="11">
        <v>-50</v>
      </c>
      <c r="AI22" s="13">
        <f t="shared" ref="AI22:AN22" si="55">IF(B22&gt;($A$22+1),1,0)</f>
        <v>0</v>
      </c>
      <c r="AJ22" s="13">
        <f t="shared" si="55"/>
        <v>0</v>
      </c>
      <c r="AK22" s="13">
        <f t="shared" si="55"/>
        <v>0</v>
      </c>
      <c r="AL22" s="13">
        <f t="shared" si="55"/>
        <v>0</v>
      </c>
      <c r="AM22" s="13">
        <f t="shared" si="55"/>
        <v>0</v>
      </c>
      <c r="AN22" s="13">
        <f t="shared" si="55"/>
        <v>0</v>
      </c>
      <c r="AO22" s="70">
        <f t="shared" si="42"/>
        <v>0</v>
      </c>
      <c r="AP22" s="11">
        <v>-50</v>
      </c>
      <c r="AQ22" s="13">
        <f t="shared" ref="AQ22:AV22" si="56">IF(J22&gt;($I$22+1),1,0)</f>
        <v>0</v>
      </c>
      <c r="AR22" s="13">
        <f t="shared" si="56"/>
        <v>0</v>
      </c>
      <c r="AS22" s="13">
        <f t="shared" si="56"/>
        <v>0</v>
      </c>
      <c r="AT22" s="13">
        <f t="shared" si="56"/>
        <v>0</v>
      </c>
      <c r="AU22" s="13">
        <f t="shared" si="56"/>
        <v>0</v>
      </c>
      <c r="AV22" s="13">
        <f t="shared" si="56"/>
        <v>0</v>
      </c>
      <c r="AW22" s="70">
        <f t="shared" si="44"/>
        <v>0</v>
      </c>
      <c r="AX22" s="11">
        <v>-50</v>
      </c>
      <c r="AY22" s="13">
        <f t="shared" ref="AY22:BD22" si="57">IF(B22&lt;($A$22-1),1,0)</f>
        <v>0</v>
      </c>
      <c r="AZ22" s="13">
        <f t="shared" si="57"/>
        <v>0</v>
      </c>
      <c r="BA22" s="13">
        <f t="shared" si="57"/>
        <v>0</v>
      </c>
      <c r="BB22" s="13">
        <f t="shared" si="57"/>
        <v>0</v>
      </c>
      <c r="BC22" s="13">
        <f t="shared" si="57"/>
        <v>0</v>
      </c>
      <c r="BD22" s="13">
        <f t="shared" si="57"/>
        <v>0</v>
      </c>
      <c r="BE22" s="70">
        <f t="shared" si="46"/>
        <v>0</v>
      </c>
      <c r="BF22" s="11">
        <v>-50</v>
      </c>
      <c r="BG22" s="13">
        <f t="shared" ref="BG22:BL22" si="58">IF(J22&lt;($I$22-1),1,0)</f>
        <v>0</v>
      </c>
      <c r="BH22" s="13">
        <f t="shared" si="58"/>
        <v>0</v>
      </c>
      <c r="BI22" s="13">
        <f t="shared" si="58"/>
        <v>0</v>
      </c>
      <c r="BJ22" s="13">
        <f t="shared" si="58"/>
        <v>0</v>
      </c>
      <c r="BK22" s="13">
        <f t="shared" si="58"/>
        <v>0</v>
      </c>
      <c r="BL22" s="13">
        <f t="shared" si="58"/>
        <v>0</v>
      </c>
      <c r="BM22" s="70">
        <f t="shared" si="48"/>
        <v>0</v>
      </c>
      <c r="BP22" s="11">
        <v>-50</v>
      </c>
      <c r="BQ22" s="12">
        <f t="shared" ref="BQ22:BQ26" si="59">B22-$A22</f>
        <v>0</v>
      </c>
      <c r="BR22" s="12">
        <f t="shared" si="49"/>
        <v>0</v>
      </c>
      <c r="BS22" s="12">
        <f t="shared" si="49"/>
        <v>0.29999999999999716</v>
      </c>
      <c r="BT22" s="12">
        <f t="shared" si="49"/>
        <v>-0.10000000000000142</v>
      </c>
      <c r="BU22" s="12">
        <f t="shared" si="49"/>
        <v>0.20000000000000284</v>
      </c>
      <c r="BV22" s="12">
        <f t="shared" si="49"/>
        <v>-0.10000000000000142</v>
      </c>
      <c r="BX22" s="11">
        <v>-50</v>
      </c>
      <c r="BY22" s="13">
        <f t="shared" ref="BY22:BY26" si="60">J22-$I22</f>
        <v>0.10000000000000142</v>
      </c>
      <c r="BZ22" s="13">
        <f t="shared" si="50"/>
        <v>0</v>
      </c>
      <c r="CA22" s="13">
        <f t="shared" si="51"/>
        <v>-0.10000000000000142</v>
      </c>
      <c r="CB22" s="13">
        <f t="shared" si="52"/>
        <v>-0.20000000000000284</v>
      </c>
      <c r="CC22" s="13">
        <f t="shared" si="53"/>
        <v>-0.10000000000000142</v>
      </c>
      <c r="CD22" s="13">
        <f t="shared" si="54"/>
        <v>-0.20000000000000284</v>
      </c>
    </row>
    <row r="23" spans="1:82" x14ac:dyDescent="0.2">
      <c r="A23" s="11">
        <v>0</v>
      </c>
      <c r="B23" s="72">
        <v>0</v>
      </c>
      <c r="C23" s="72">
        <v>0.1</v>
      </c>
      <c r="D23" s="72">
        <v>-0.3</v>
      </c>
      <c r="E23" s="72">
        <v>0.1</v>
      </c>
      <c r="F23" s="72">
        <v>-0.2</v>
      </c>
      <c r="G23" s="72">
        <v>-0.1</v>
      </c>
      <c r="H23" s="71" t="str">
        <f t="shared" si="39"/>
        <v/>
      </c>
      <c r="I23" s="11">
        <v>0</v>
      </c>
      <c r="J23" s="72">
        <v>0.2</v>
      </c>
      <c r="K23" s="72">
        <v>0.2</v>
      </c>
      <c r="L23" s="72">
        <v>0.1</v>
      </c>
      <c r="M23" s="72">
        <v>0.1</v>
      </c>
      <c r="N23" s="72">
        <v>0.1</v>
      </c>
      <c r="O23" s="72">
        <v>0.1</v>
      </c>
      <c r="P23" s="71" t="str">
        <f t="shared" si="40"/>
        <v/>
      </c>
      <c r="R23" s="11">
        <v>0</v>
      </c>
      <c r="S23" s="72"/>
      <c r="T23" s="72"/>
      <c r="U23" s="72"/>
      <c r="V23" s="72"/>
      <c r="W23" s="72"/>
      <c r="X23" s="72"/>
      <c r="Z23" s="11">
        <v>0</v>
      </c>
      <c r="AA23" s="72"/>
      <c r="AB23" s="72"/>
      <c r="AC23" s="72"/>
      <c r="AD23" s="72"/>
      <c r="AE23" s="72"/>
      <c r="AF23" s="72"/>
      <c r="AH23" s="11">
        <v>0</v>
      </c>
      <c r="AI23" s="13">
        <f t="shared" ref="AI23:AN23" si="61">IF(B23&gt;($A$23+1),1,0)</f>
        <v>0</v>
      </c>
      <c r="AJ23" s="13">
        <f t="shared" si="61"/>
        <v>0</v>
      </c>
      <c r="AK23" s="13">
        <f t="shared" si="61"/>
        <v>0</v>
      </c>
      <c r="AL23" s="13">
        <f t="shared" si="61"/>
        <v>0</v>
      </c>
      <c r="AM23" s="13">
        <f t="shared" si="61"/>
        <v>0</v>
      </c>
      <c r="AN23" s="13">
        <f t="shared" si="61"/>
        <v>0</v>
      </c>
      <c r="AO23" s="70">
        <f t="shared" si="42"/>
        <v>0</v>
      </c>
      <c r="AP23" s="11">
        <v>0</v>
      </c>
      <c r="AQ23" s="13">
        <f t="shared" ref="AQ23:AV23" si="62">IF(J23&gt;($I$23+1),1,0)</f>
        <v>0</v>
      </c>
      <c r="AR23" s="13">
        <f t="shared" si="62"/>
        <v>0</v>
      </c>
      <c r="AS23" s="13">
        <f t="shared" si="62"/>
        <v>0</v>
      </c>
      <c r="AT23" s="13">
        <f t="shared" si="62"/>
        <v>0</v>
      </c>
      <c r="AU23" s="13">
        <f t="shared" si="62"/>
        <v>0</v>
      </c>
      <c r="AV23" s="13">
        <f t="shared" si="62"/>
        <v>0</v>
      </c>
      <c r="AW23" s="70">
        <f t="shared" si="44"/>
        <v>0</v>
      </c>
      <c r="AX23" s="11">
        <v>0</v>
      </c>
      <c r="AY23" s="13">
        <f t="shared" ref="AY23:BD23" si="63">IF(B23&lt;($A$23-1),1,0)</f>
        <v>0</v>
      </c>
      <c r="AZ23" s="13">
        <f t="shared" si="63"/>
        <v>0</v>
      </c>
      <c r="BA23" s="13">
        <f t="shared" si="63"/>
        <v>0</v>
      </c>
      <c r="BB23" s="13">
        <f t="shared" si="63"/>
        <v>0</v>
      </c>
      <c r="BC23" s="13">
        <f t="shared" si="63"/>
        <v>0</v>
      </c>
      <c r="BD23" s="13">
        <f t="shared" si="63"/>
        <v>0</v>
      </c>
      <c r="BE23" s="70">
        <f t="shared" si="46"/>
        <v>0</v>
      </c>
      <c r="BF23" s="11">
        <v>0</v>
      </c>
      <c r="BG23" s="13">
        <f t="shared" ref="BG23:BL23" si="64">IF(J23&lt;($I$23-1),1,0)</f>
        <v>0</v>
      </c>
      <c r="BH23" s="13">
        <f t="shared" si="64"/>
        <v>0</v>
      </c>
      <c r="BI23" s="13">
        <f t="shared" si="64"/>
        <v>0</v>
      </c>
      <c r="BJ23" s="13">
        <f t="shared" si="64"/>
        <v>0</v>
      </c>
      <c r="BK23" s="13">
        <f t="shared" si="64"/>
        <v>0</v>
      </c>
      <c r="BL23" s="13">
        <f t="shared" si="64"/>
        <v>0</v>
      </c>
      <c r="BM23" s="70">
        <f t="shared" si="48"/>
        <v>0</v>
      </c>
      <c r="BP23" s="11">
        <v>0</v>
      </c>
      <c r="BQ23" s="12">
        <f t="shared" si="59"/>
        <v>0</v>
      </c>
      <c r="BR23" s="12">
        <f t="shared" si="49"/>
        <v>0.1</v>
      </c>
      <c r="BS23" s="12">
        <f t="shared" si="49"/>
        <v>-0.3</v>
      </c>
      <c r="BT23" s="12">
        <f t="shared" si="49"/>
        <v>0.1</v>
      </c>
      <c r="BU23" s="12">
        <f t="shared" si="49"/>
        <v>-0.2</v>
      </c>
      <c r="BV23" s="12">
        <f t="shared" si="49"/>
        <v>-0.1</v>
      </c>
      <c r="BX23" s="11">
        <v>0</v>
      </c>
      <c r="BY23" s="13">
        <f t="shared" si="60"/>
        <v>0.2</v>
      </c>
      <c r="BZ23" s="13">
        <f t="shared" si="50"/>
        <v>0.2</v>
      </c>
      <c r="CA23" s="13">
        <f t="shared" si="51"/>
        <v>0.1</v>
      </c>
      <c r="CB23" s="13">
        <f t="shared" si="52"/>
        <v>0.1</v>
      </c>
      <c r="CC23" s="13">
        <f t="shared" si="53"/>
        <v>0.1</v>
      </c>
      <c r="CD23" s="13">
        <f t="shared" si="54"/>
        <v>0.1</v>
      </c>
    </row>
    <row r="24" spans="1:82" x14ac:dyDescent="0.2">
      <c r="A24" s="11">
        <v>250</v>
      </c>
      <c r="B24" s="72">
        <v>249.9</v>
      </c>
      <c r="C24" s="72">
        <v>249.9</v>
      </c>
      <c r="D24" s="72">
        <v>249.8</v>
      </c>
      <c r="E24" s="72">
        <v>249.9</v>
      </c>
      <c r="F24" s="72">
        <v>249.9</v>
      </c>
      <c r="G24" s="72">
        <v>249.8</v>
      </c>
      <c r="H24" s="71" t="str">
        <f t="shared" si="39"/>
        <v/>
      </c>
      <c r="I24" s="11">
        <v>250</v>
      </c>
      <c r="J24" s="72">
        <v>250</v>
      </c>
      <c r="K24" s="72">
        <v>250.1</v>
      </c>
      <c r="L24" s="72">
        <v>249.8</v>
      </c>
      <c r="M24" s="72">
        <v>249.7</v>
      </c>
      <c r="N24" s="72">
        <v>249.8</v>
      </c>
      <c r="O24" s="72">
        <v>250</v>
      </c>
      <c r="P24" s="71" t="str">
        <f t="shared" si="40"/>
        <v/>
      </c>
      <c r="R24" s="11">
        <v>250</v>
      </c>
      <c r="S24" s="72"/>
      <c r="T24" s="72"/>
      <c r="U24" s="72"/>
      <c r="V24" s="72"/>
      <c r="W24" s="72"/>
      <c r="X24" s="72"/>
      <c r="Z24" s="11">
        <v>250</v>
      </c>
      <c r="AA24" s="72"/>
      <c r="AB24" s="72"/>
      <c r="AC24" s="72"/>
      <c r="AD24" s="72"/>
      <c r="AE24" s="72"/>
      <c r="AF24" s="72"/>
      <c r="AH24" s="11">
        <v>250</v>
      </c>
      <c r="AI24" s="13">
        <f t="shared" ref="AI24:AN24" si="65">IF(B24&gt;($A$24+1),1,0)</f>
        <v>0</v>
      </c>
      <c r="AJ24" s="13">
        <f t="shared" si="65"/>
        <v>0</v>
      </c>
      <c r="AK24" s="13">
        <f t="shared" si="65"/>
        <v>0</v>
      </c>
      <c r="AL24" s="13">
        <f t="shared" si="65"/>
        <v>0</v>
      </c>
      <c r="AM24" s="13">
        <f t="shared" si="65"/>
        <v>0</v>
      </c>
      <c r="AN24" s="13">
        <f t="shared" si="65"/>
        <v>0</v>
      </c>
      <c r="AO24" s="70">
        <f t="shared" si="42"/>
        <v>0</v>
      </c>
      <c r="AP24" s="11">
        <v>250</v>
      </c>
      <c r="AQ24" s="13">
        <f t="shared" ref="AQ24:AV24" si="66">IF(J24&gt;($I$24+1),1,0)</f>
        <v>0</v>
      </c>
      <c r="AR24" s="13">
        <f t="shared" si="66"/>
        <v>0</v>
      </c>
      <c r="AS24" s="13">
        <f t="shared" si="66"/>
        <v>0</v>
      </c>
      <c r="AT24" s="13">
        <f t="shared" si="66"/>
        <v>0</v>
      </c>
      <c r="AU24" s="13">
        <f t="shared" si="66"/>
        <v>0</v>
      </c>
      <c r="AV24" s="13">
        <f t="shared" si="66"/>
        <v>0</v>
      </c>
      <c r="AW24" s="70">
        <f t="shared" si="44"/>
        <v>0</v>
      </c>
      <c r="AX24" s="11">
        <v>250</v>
      </c>
      <c r="AY24" s="13">
        <f t="shared" ref="AY24:BD24" si="67">IF(B24&lt;($A$24-1),1,0)</f>
        <v>0</v>
      </c>
      <c r="AZ24" s="13">
        <f t="shared" si="67"/>
        <v>0</v>
      </c>
      <c r="BA24" s="13">
        <f t="shared" si="67"/>
        <v>0</v>
      </c>
      <c r="BB24" s="13">
        <f t="shared" si="67"/>
        <v>0</v>
      </c>
      <c r="BC24" s="13">
        <f t="shared" si="67"/>
        <v>0</v>
      </c>
      <c r="BD24" s="13">
        <f t="shared" si="67"/>
        <v>0</v>
      </c>
      <c r="BE24" s="70">
        <f t="shared" si="46"/>
        <v>0</v>
      </c>
      <c r="BF24" s="11">
        <v>250</v>
      </c>
      <c r="BG24" s="13">
        <f t="shared" ref="BG24:BL24" si="68">IF(J24&lt;($I$24-1),1,0)</f>
        <v>0</v>
      </c>
      <c r="BH24" s="13">
        <f t="shared" si="68"/>
        <v>0</v>
      </c>
      <c r="BI24" s="13">
        <f t="shared" si="68"/>
        <v>0</v>
      </c>
      <c r="BJ24" s="13">
        <f t="shared" si="68"/>
        <v>0</v>
      </c>
      <c r="BK24" s="13">
        <f t="shared" si="68"/>
        <v>0</v>
      </c>
      <c r="BL24" s="13">
        <f t="shared" si="68"/>
        <v>0</v>
      </c>
      <c r="BM24" s="70">
        <f t="shared" si="48"/>
        <v>0</v>
      </c>
      <c r="BP24" s="11">
        <v>250</v>
      </c>
      <c r="BQ24" s="12">
        <f t="shared" si="59"/>
        <v>-9.9999999999994316E-2</v>
      </c>
      <c r="BR24" s="12">
        <f t="shared" si="49"/>
        <v>-9.9999999999994316E-2</v>
      </c>
      <c r="BS24" s="12">
        <f t="shared" si="49"/>
        <v>-0.19999999999998863</v>
      </c>
      <c r="BT24" s="12">
        <f t="shared" si="49"/>
        <v>-9.9999999999994316E-2</v>
      </c>
      <c r="BU24" s="12">
        <f t="shared" si="49"/>
        <v>-9.9999999999994316E-2</v>
      </c>
      <c r="BV24" s="12">
        <f t="shared" si="49"/>
        <v>-0.19999999999998863</v>
      </c>
      <c r="BX24" s="11">
        <v>250</v>
      </c>
      <c r="BY24" s="13">
        <f t="shared" si="60"/>
        <v>0</v>
      </c>
      <c r="BZ24" s="13">
        <f t="shared" si="50"/>
        <v>9.9999999999994316E-2</v>
      </c>
      <c r="CA24" s="13">
        <f t="shared" si="51"/>
        <v>-0.19999999999998863</v>
      </c>
      <c r="CB24" s="13">
        <f t="shared" si="52"/>
        <v>-0.30000000000001137</v>
      </c>
      <c r="CC24" s="13">
        <f t="shared" si="53"/>
        <v>-0.19999999999998863</v>
      </c>
      <c r="CD24" s="13">
        <f t="shared" si="54"/>
        <v>0</v>
      </c>
    </row>
    <row r="25" spans="1:82" x14ac:dyDescent="0.2">
      <c r="A25" s="11">
        <v>500</v>
      </c>
      <c r="B25" s="72">
        <v>499.8</v>
      </c>
      <c r="C25" s="72">
        <v>499.8</v>
      </c>
      <c r="D25" s="72">
        <v>499.8</v>
      </c>
      <c r="E25" s="72">
        <v>499.8</v>
      </c>
      <c r="F25" s="72">
        <v>499.9</v>
      </c>
      <c r="G25" s="72">
        <v>499.8</v>
      </c>
      <c r="H25" s="71" t="str">
        <f t="shared" si="39"/>
        <v/>
      </c>
      <c r="I25" s="11">
        <v>500</v>
      </c>
      <c r="J25" s="72">
        <v>500.1</v>
      </c>
      <c r="K25" s="72">
        <v>500.1</v>
      </c>
      <c r="L25" s="72">
        <v>500</v>
      </c>
      <c r="M25" s="72">
        <v>500.1</v>
      </c>
      <c r="N25" s="72">
        <v>500</v>
      </c>
      <c r="O25" s="72">
        <v>500.2</v>
      </c>
      <c r="P25" s="71" t="str">
        <f t="shared" si="40"/>
        <v/>
      </c>
      <c r="R25" s="11">
        <v>500</v>
      </c>
      <c r="S25" s="72"/>
      <c r="T25" s="72"/>
      <c r="U25" s="72"/>
      <c r="V25" s="72"/>
      <c r="W25" s="72"/>
      <c r="X25" s="72"/>
      <c r="Z25" s="11">
        <v>500</v>
      </c>
      <c r="AA25" s="72"/>
      <c r="AB25" s="72"/>
      <c r="AC25" s="72"/>
      <c r="AD25" s="72"/>
      <c r="AE25" s="72"/>
      <c r="AF25" s="72"/>
      <c r="AH25" s="11">
        <v>500</v>
      </c>
      <c r="AI25" s="13">
        <f t="shared" ref="AI25:AN25" si="69">IF(B25&gt;($A$25+1),1,0)</f>
        <v>0</v>
      </c>
      <c r="AJ25" s="13">
        <f t="shared" si="69"/>
        <v>0</v>
      </c>
      <c r="AK25" s="13">
        <f t="shared" si="69"/>
        <v>0</v>
      </c>
      <c r="AL25" s="13">
        <f t="shared" si="69"/>
        <v>0</v>
      </c>
      <c r="AM25" s="13">
        <f t="shared" si="69"/>
        <v>0</v>
      </c>
      <c r="AN25" s="13">
        <f t="shared" si="69"/>
        <v>0</v>
      </c>
      <c r="AO25" s="70">
        <f t="shared" si="42"/>
        <v>0</v>
      </c>
      <c r="AP25" s="11">
        <v>500</v>
      </c>
      <c r="AQ25" s="13">
        <f t="shared" ref="AQ25:AV25" si="70">IF(J25&gt;($I$25+1),1,0)</f>
        <v>0</v>
      </c>
      <c r="AR25" s="13">
        <f t="shared" si="70"/>
        <v>0</v>
      </c>
      <c r="AS25" s="13">
        <f t="shared" si="70"/>
        <v>0</v>
      </c>
      <c r="AT25" s="13">
        <f t="shared" si="70"/>
        <v>0</v>
      </c>
      <c r="AU25" s="13">
        <f t="shared" si="70"/>
        <v>0</v>
      </c>
      <c r="AV25" s="13">
        <f t="shared" si="70"/>
        <v>0</v>
      </c>
      <c r="AW25" s="70">
        <f t="shared" si="44"/>
        <v>0</v>
      </c>
      <c r="AX25" s="11">
        <v>500</v>
      </c>
      <c r="AY25" s="13">
        <f t="shared" ref="AY25:BD25" si="71">IF(B25&lt;($A$25-1),1,0)</f>
        <v>0</v>
      </c>
      <c r="AZ25" s="13">
        <f t="shared" si="71"/>
        <v>0</v>
      </c>
      <c r="BA25" s="13">
        <f t="shared" si="71"/>
        <v>0</v>
      </c>
      <c r="BB25" s="13">
        <f t="shared" si="71"/>
        <v>0</v>
      </c>
      <c r="BC25" s="13">
        <f t="shared" si="71"/>
        <v>0</v>
      </c>
      <c r="BD25" s="13">
        <f t="shared" si="71"/>
        <v>0</v>
      </c>
      <c r="BE25" s="70">
        <f t="shared" si="46"/>
        <v>0</v>
      </c>
      <c r="BF25" s="11">
        <v>500</v>
      </c>
      <c r="BG25" s="13">
        <f t="shared" ref="BG25:BL25" si="72">IF(J25&lt;($I$25-1),1,0)</f>
        <v>0</v>
      </c>
      <c r="BH25" s="13">
        <f t="shared" si="72"/>
        <v>0</v>
      </c>
      <c r="BI25" s="13">
        <f t="shared" si="72"/>
        <v>0</v>
      </c>
      <c r="BJ25" s="13">
        <f t="shared" si="72"/>
        <v>0</v>
      </c>
      <c r="BK25" s="13">
        <f t="shared" si="72"/>
        <v>0</v>
      </c>
      <c r="BL25" s="13">
        <f t="shared" si="72"/>
        <v>0</v>
      </c>
      <c r="BM25" s="70">
        <f t="shared" si="48"/>
        <v>0</v>
      </c>
      <c r="BP25" s="11">
        <v>500</v>
      </c>
      <c r="BQ25" s="12">
        <f t="shared" si="59"/>
        <v>-0.19999999999998863</v>
      </c>
      <c r="BR25" s="12">
        <f t="shared" si="49"/>
        <v>-0.19999999999998863</v>
      </c>
      <c r="BS25" s="12">
        <f t="shared" si="49"/>
        <v>-0.19999999999998863</v>
      </c>
      <c r="BT25" s="12">
        <f t="shared" si="49"/>
        <v>-0.19999999999998863</v>
      </c>
      <c r="BU25" s="12">
        <f t="shared" si="49"/>
        <v>-0.10000000000002274</v>
      </c>
      <c r="BV25" s="12">
        <f t="shared" si="49"/>
        <v>-0.19999999999998863</v>
      </c>
      <c r="BX25" s="11">
        <v>500</v>
      </c>
      <c r="BY25" s="13">
        <f t="shared" si="60"/>
        <v>0.10000000000002274</v>
      </c>
      <c r="BZ25" s="13">
        <f t="shared" si="50"/>
        <v>0.10000000000002274</v>
      </c>
      <c r="CA25" s="13">
        <f t="shared" si="51"/>
        <v>0</v>
      </c>
      <c r="CB25" s="13">
        <f t="shared" si="52"/>
        <v>0.10000000000002274</v>
      </c>
      <c r="CC25" s="13">
        <f t="shared" si="53"/>
        <v>0</v>
      </c>
      <c r="CD25" s="13">
        <f t="shared" si="54"/>
        <v>0.19999999999998863</v>
      </c>
    </row>
    <row r="26" spans="1:82" x14ac:dyDescent="0.2">
      <c r="A26" s="11">
        <v>1000</v>
      </c>
      <c r="B26" s="72">
        <v>999.6</v>
      </c>
      <c r="C26" s="72">
        <v>999.8</v>
      </c>
      <c r="D26" s="72">
        <v>999.9</v>
      </c>
      <c r="E26" s="72">
        <v>999.7</v>
      </c>
      <c r="F26" s="72">
        <v>999.8</v>
      </c>
      <c r="G26" s="72">
        <v>999.8</v>
      </c>
      <c r="H26" s="71" t="str">
        <f t="shared" si="39"/>
        <v/>
      </c>
      <c r="I26" s="11">
        <v>1000</v>
      </c>
      <c r="J26" s="72">
        <v>1000</v>
      </c>
      <c r="K26" s="72">
        <v>1000.2</v>
      </c>
      <c r="L26" s="72">
        <v>1000.1</v>
      </c>
      <c r="M26" s="72">
        <v>1000.3</v>
      </c>
      <c r="N26" s="72">
        <v>1000.1</v>
      </c>
      <c r="O26" s="72">
        <v>1000.2</v>
      </c>
      <c r="P26" s="71" t="str">
        <f t="shared" si="40"/>
        <v/>
      </c>
      <c r="R26" s="11">
        <v>1000</v>
      </c>
      <c r="S26" s="72"/>
      <c r="T26" s="72"/>
      <c r="U26" s="72"/>
      <c r="V26" s="72"/>
      <c r="W26" s="72"/>
      <c r="X26" s="72"/>
      <c r="Z26" s="11">
        <v>1000</v>
      </c>
      <c r="AA26" s="72"/>
      <c r="AB26" s="72"/>
      <c r="AC26" s="72"/>
      <c r="AD26" s="72"/>
      <c r="AE26" s="72"/>
      <c r="AF26" s="72"/>
      <c r="AH26" s="11">
        <v>1000</v>
      </c>
      <c r="AI26" s="13">
        <f t="shared" ref="AI26:AN26" si="73">IF(B26&gt;($A$26+1),1,0)</f>
        <v>0</v>
      </c>
      <c r="AJ26" s="13">
        <f t="shared" si="73"/>
        <v>0</v>
      </c>
      <c r="AK26" s="13">
        <f t="shared" si="73"/>
        <v>0</v>
      </c>
      <c r="AL26" s="13">
        <f t="shared" si="73"/>
        <v>0</v>
      </c>
      <c r="AM26" s="13">
        <f t="shared" si="73"/>
        <v>0</v>
      </c>
      <c r="AN26" s="13">
        <f t="shared" si="73"/>
        <v>0</v>
      </c>
      <c r="AO26" s="70">
        <f t="shared" si="42"/>
        <v>0</v>
      </c>
      <c r="AP26" s="11">
        <v>1000</v>
      </c>
      <c r="AQ26" s="13">
        <f t="shared" ref="AQ26:AV26" si="74">IF(J26&gt;($I$26+1),1,0)</f>
        <v>0</v>
      </c>
      <c r="AR26" s="13">
        <f t="shared" si="74"/>
        <v>0</v>
      </c>
      <c r="AS26" s="13">
        <f t="shared" si="74"/>
        <v>0</v>
      </c>
      <c r="AT26" s="13">
        <f t="shared" si="74"/>
        <v>0</v>
      </c>
      <c r="AU26" s="13">
        <f t="shared" si="74"/>
        <v>0</v>
      </c>
      <c r="AV26" s="13">
        <f t="shared" si="74"/>
        <v>0</v>
      </c>
      <c r="AW26" s="70">
        <f t="shared" si="44"/>
        <v>0</v>
      </c>
      <c r="AX26" s="11">
        <v>1000</v>
      </c>
      <c r="AY26" s="13">
        <f t="shared" ref="AY26:BD26" si="75">IF(B26&lt;($A$26-1),1,0)</f>
        <v>0</v>
      </c>
      <c r="AZ26" s="13">
        <f t="shared" si="75"/>
        <v>0</v>
      </c>
      <c r="BA26" s="13">
        <f t="shared" si="75"/>
        <v>0</v>
      </c>
      <c r="BB26" s="13">
        <f t="shared" si="75"/>
        <v>0</v>
      </c>
      <c r="BC26" s="13">
        <f t="shared" si="75"/>
        <v>0</v>
      </c>
      <c r="BD26" s="13">
        <f t="shared" si="75"/>
        <v>0</v>
      </c>
      <c r="BE26" s="70">
        <f t="shared" si="46"/>
        <v>0</v>
      </c>
      <c r="BF26" s="11">
        <v>1000</v>
      </c>
      <c r="BG26" s="13">
        <f t="shared" ref="BG26:BL26" si="76">IF(J26&lt;($I$26-1),1,0)</f>
        <v>0</v>
      </c>
      <c r="BH26" s="13">
        <f t="shared" si="76"/>
        <v>0</v>
      </c>
      <c r="BI26" s="13">
        <f t="shared" si="76"/>
        <v>0</v>
      </c>
      <c r="BJ26" s="13">
        <f t="shared" si="76"/>
        <v>0</v>
      </c>
      <c r="BK26" s="13">
        <f t="shared" si="76"/>
        <v>0</v>
      </c>
      <c r="BL26" s="13">
        <f t="shared" si="76"/>
        <v>0</v>
      </c>
      <c r="BM26" s="70">
        <f t="shared" si="48"/>
        <v>0</v>
      </c>
      <c r="BP26" s="11">
        <v>1000</v>
      </c>
      <c r="BQ26" s="12">
        <f t="shared" si="59"/>
        <v>-0.39999999999997726</v>
      </c>
      <c r="BR26" s="12">
        <f t="shared" si="49"/>
        <v>-0.20000000000004547</v>
      </c>
      <c r="BS26" s="12">
        <f t="shared" si="49"/>
        <v>-0.10000000000002274</v>
      </c>
      <c r="BT26" s="12">
        <f t="shared" si="49"/>
        <v>-0.29999999999995453</v>
      </c>
      <c r="BU26" s="12">
        <f t="shared" si="49"/>
        <v>-0.20000000000004547</v>
      </c>
      <c r="BV26" s="12">
        <f t="shared" si="49"/>
        <v>-0.20000000000004547</v>
      </c>
      <c r="BX26" s="11">
        <v>1000</v>
      </c>
      <c r="BY26" s="13">
        <f t="shared" si="60"/>
        <v>0</v>
      </c>
      <c r="BZ26" s="13">
        <f t="shared" si="50"/>
        <v>0.20000000000004547</v>
      </c>
      <c r="CA26" s="13">
        <f t="shared" si="51"/>
        <v>0.10000000000002274</v>
      </c>
      <c r="CB26" s="13">
        <f t="shared" si="52"/>
        <v>0.29999999999995453</v>
      </c>
      <c r="CC26" s="13">
        <f t="shared" si="53"/>
        <v>0.10000000000002274</v>
      </c>
      <c r="CD26" s="13">
        <f t="shared" si="54"/>
        <v>0.20000000000004547</v>
      </c>
    </row>
    <row r="27" spans="1:82" x14ac:dyDescent="0.2">
      <c r="A27" s="14"/>
      <c r="R27" s="14"/>
      <c r="AH27" s="67"/>
      <c r="AV27" s="68"/>
      <c r="AX27" s="67"/>
      <c r="BL27" s="68"/>
    </row>
    <row r="28" spans="1:82" x14ac:dyDescent="0.2">
      <c r="A28" s="11" t="s">
        <v>9</v>
      </c>
      <c r="B28" s="12">
        <v>13</v>
      </c>
      <c r="C28" s="12">
        <v>14</v>
      </c>
      <c r="D28" s="12">
        <v>15</v>
      </c>
      <c r="E28" s="12">
        <v>16</v>
      </c>
      <c r="F28" s="12">
        <v>17</v>
      </c>
      <c r="G28" s="12">
        <v>18</v>
      </c>
      <c r="I28" s="11" t="s">
        <v>9</v>
      </c>
      <c r="J28" s="12">
        <v>37</v>
      </c>
      <c r="K28" s="12">
        <v>38</v>
      </c>
      <c r="L28" s="12">
        <v>39</v>
      </c>
      <c r="M28" s="12">
        <v>40</v>
      </c>
      <c r="P28" s="71" t="str">
        <f t="shared" ref="P28:P34" si="77">IF((AW28+BM28)&gt;0,"OOT","")</f>
        <v/>
      </c>
      <c r="R28" s="11" t="s">
        <v>9</v>
      </c>
      <c r="S28" s="12">
        <v>13</v>
      </c>
      <c r="T28" s="12">
        <v>14</v>
      </c>
      <c r="U28" s="12">
        <v>15</v>
      </c>
      <c r="V28" s="12">
        <v>16</v>
      </c>
      <c r="W28" s="12">
        <v>17</v>
      </c>
      <c r="X28" s="12">
        <v>18</v>
      </c>
      <c r="Z28" s="11" t="s">
        <v>9</v>
      </c>
      <c r="AA28" s="12">
        <v>37</v>
      </c>
      <c r="AB28" s="12">
        <v>38</v>
      </c>
      <c r="AC28" s="12">
        <v>39</v>
      </c>
      <c r="AD28" s="12">
        <v>40</v>
      </c>
      <c r="AH28" s="11" t="s">
        <v>9</v>
      </c>
      <c r="AI28" s="12">
        <v>13</v>
      </c>
      <c r="AJ28" s="12">
        <v>14</v>
      </c>
      <c r="AK28" s="12">
        <v>15</v>
      </c>
      <c r="AL28" s="12">
        <v>16</v>
      </c>
      <c r="AM28" s="12">
        <v>17</v>
      </c>
      <c r="AN28" s="12">
        <v>18</v>
      </c>
      <c r="AP28" s="11" t="s">
        <v>9</v>
      </c>
      <c r="AQ28" s="12">
        <v>37</v>
      </c>
      <c r="AR28" s="12">
        <v>38</v>
      </c>
      <c r="AS28" s="12">
        <v>39</v>
      </c>
      <c r="AT28" s="12">
        <v>40</v>
      </c>
      <c r="AV28" s="68"/>
      <c r="AX28" s="11" t="s">
        <v>9</v>
      </c>
      <c r="AY28" s="12">
        <v>13</v>
      </c>
      <c r="AZ28" s="12">
        <v>14</v>
      </c>
      <c r="BA28" s="12">
        <v>15</v>
      </c>
      <c r="BB28" s="12">
        <v>16</v>
      </c>
      <c r="BC28" s="12">
        <v>17</v>
      </c>
      <c r="BD28" s="12">
        <v>18</v>
      </c>
      <c r="BF28" s="11" t="s">
        <v>9</v>
      </c>
      <c r="BG28" s="12">
        <v>37</v>
      </c>
      <c r="BH28" s="12">
        <v>38</v>
      </c>
      <c r="BI28" s="12">
        <v>39</v>
      </c>
      <c r="BJ28" s="12">
        <v>40</v>
      </c>
      <c r="BL28" s="68"/>
      <c r="BP28" s="11" t="s">
        <v>9</v>
      </c>
      <c r="BQ28" s="12">
        <v>13</v>
      </c>
      <c r="BR28" s="12">
        <v>14</v>
      </c>
      <c r="BS28" s="12">
        <v>15</v>
      </c>
      <c r="BT28" s="12">
        <v>16</v>
      </c>
      <c r="BU28" s="12">
        <v>17</v>
      </c>
      <c r="BV28" s="12">
        <v>18</v>
      </c>
      <c r="BX28" s="11" t="s">
        <v>9</v>
      </c>
      <c r="BY28" s="12">
        <v>37</v>
      </c>
      <c r="BZ28" s="12">
        <v>38</v>
      </c>
      <c r="CA28" s="12">
        <v>39</v>
      </c>
      <c r="CB28" s="12">
        <v>40</v>
      </c>
    </row>
    <row r="29" spans="1:82" x14ac:dyDescent="0.2">
      <c r="A29" s="11">
        <v>-100</v>
      </c>
      <c r="B29" s="72">
        <v>-100</v>
      </c>
      <c r="C29" s="72">
        <v>-100.1</v>
      </c>
      <c r="D29" s="72">
        <v>-100.1</v>
      </c>
      <c r="E29" s="72">
        <v>-100</v>
      </c>
      <c r="F29" s="72">
        <v>-100.2</v>
      </c>
      <c r="G29" s="72">
        <v>-99.8</v>
      </c>
      <c r="H29" s="71" t="str">
        <f t="shared" ref="H29:H34" si="78">IF((AO29+BE29)&gt;0,"OOT","")</f>
        <v/>
      </c>
      <c r="I29" s="11">
        <v>-100</v>
      </c>
      <c r="J29" s="72">
        <v>-100.5</v>
      </c>
      <c r="K29" s="72">
        <v>-100.1</v>
      </c>
      <c r="L29" s="72">
        <v>-99.8</v>
      </c>
      <c r="M29" s="72">
        <v>-99.9</v>
      </c>
      <c r="P29" s="71" t="str">
        <f t="shared" si="77"/>
        <v/>
      </c>
      <c r="R29" s="11">
        <v>-100</v>
      </c>
      <c r="S29" s="72"/>
      <c r="T29" s="72"/>
      <c r="U29" s="72"/>
      <c r="V29" s="72"/>
      <c r="W29" s="72"/>
      <c r="X29" s="72"/>
      <c r="Z29" s="11">
        <v>-100</v>
      </c>
      <c r="AA29" s="72"/>
      <c r="AB29" s="72"/>
      <c r="AC29" s="72"/>
      <c r="AD29" s="72"/>
      <c r="AH29" s="11">
        <v>-100</v>
      </c>
      <c r="AI29" s="13">
        <f t="shared" ref="AI29:AN29" si="79">IF(B29&gt;($A$29+1),1,0)</f>
        <v>0</v>
      </c>
      <c r="AJ29" s="13">
        <f t="shared" si="79"/>
        <v>0</v>
      </c>
      <c r="AK29" s="13">
        <f t="shared" si="79"/>
        <v>0</v>
      </c>
      <c r="AL29" s="13">
        <f t="shared" si="79"/>
        <v>0</v>
      </c>
      <c r="AM29" s="13">
        <f t="shared" si="79"/>
        <v>0</v>
      </c>
      <c r="AN29" s="13">
        <f t="shared" si="79"/>
        <v>0</v>
      </c>
      <c r="AO29" s="70">
        <f t="shared" ref="AO29:AO34" si="80">SUM(AI29:AN29)</f>
        <v>0</v>
      </c>
      <c r="AP29" s="11">
        <v>-100</v>
      </c>
      <c r="AQ29" s="13">
        <f>IF(J29&gt;($I$29+1),1,0)</f>
        <v>0</v>
      </c>
      <c r="AR29" s="13">
        <f>IF(K29&gt;($I$29+1),1,0)</f>
        <v>0</v>
      </c>
      <c r="AS29" s="13">
        <f>IF(L29&gt;($I$29+1),1,0)</f>
        <v>0</v>
      </c>
      <c r="AT29" s="13">
        <f>IF(M29&gt;($I$29+1),1,0)</f>
        <v>0</v>
      </c>
      <c r="AV29" s="68"/>
      <c r="AW29" s="70">
        <f t="shared" ref="AW29:AW34" si="81">SUM(AQ29:AV29)</f>
        <v>0</v>
      </c>
      <c r="AX29" s="11">
        <v>-100</v>
      </c>
      <c r="AY29" s="13">
        <f t="shared" ref="AY29:BD29" si="82">IF(B29&lt;($A$29-1),1,0)</f>
        <v>0</v>
      </c>
      <c r="AZ29" s="13">
        <f t="shared" si="82"/>
        <v>0</v>
      </c>
      <c r="BA29" s="13">
        <f t="shared" si="82"/>
        <v>0</v>
      </c>
      <c r="BB29" s="13">
        <f t="shared" si="82"/>
        <v>0</v>
      </c>
      <c r="BC29" s="13">
        <f t="shared" si="82"/>
        <v>0</v>
      </c>
      <c r="BD29" s="13">
        <f t="shared" si="82"/>
        <v>0</v>
      </c>
      <c r="BE29" s="70">
        <f t="shared" ref="BE29:BE34" si="83">SUM(AY29:BD29)</f>
        <v>0</v>
      </c>
      <c r="BF29" s="11">
        <v>-100</v>
      </c>
      <c r="BG29" s="13">
        <f>IF(J29&lt;($I$29-1),1,0)</f>
        <v>0</v>
      </c>
      <c r="BH29" s="13">
        <f>IF(K29&lt;($I$29-1),1,0)</f>
        <v>0</v>
      </c>
      <c r="BI29" s="13">
        <f>IF(L29&lt;($I$29-1),1,0)</f>
        <v>0</v>
      </c>
      <c r="BJ29" s="13">
        <f>IF(M29&lt;($I$29-1),1,0)</f>
        <v>0</v>
      </c>
      <c r="BL29" s="68"/>
      <c r="BM29" s="70">
        <f t="shared" ref="BM29:BM34" si="84">SUM(BG29:BL29)</f>
        <v>0</v>
      </c>
      <c r="BP29" s="11">
        <v>-100</v>
      </c>
      <c r="BQ29" s="12">
        <f>B29-$A29</f>
        <v>0</v>
      </c>
      <c r="BR29" s="12">
        <f t="shared" ref="BR29:BV34" si="85">C29-$A29</f>
        <v>-9.9999999999994316E-2</v>
      </c>
      <c r="BS29" s="12">
        <f t="shared" si="85"/>
        <v>-9.9999999999994316E-2</v>
      </c>
      <c r="BT29" s="12">
        <f t="shared" si="85"/>
        <v>0</v>
      </c>
      <c r="BU29" s="12">
        <f t="shared" si="85"/>
        <v>-0.20000000000000284</v>
      </c>
      <c r="BV29" s="12">
        <f t="shared" si="85"/>
        <v>0.20000000000000284</v>
      </c>
      <c r="BX29" s="11">
        <v>-100</v>
      </c>
      <c r="BY29" s="13">
        <f>J29-$I29</f>
        <v>-0.5</v>
      </c>
      <c r="BZ29" s="13">
        <f t="shared" ref="BZ29:BZ34" si="86">K29-$I29</f>
        <v>-9.9999999999994316E-2</v>
      </c>
      <c r="CA29" s="13">
        <f t="shared" ref="CA29:CA34" si="87">L29-$I29</f>
        <v>0.20000000000000284</v>
      </c>
      <c r="CB29" s="13">
        <f t="shared" ref="CB29:CB34" si="88">M29-$I29</f>
        <v>9.9999999999994316E-2</v>
      </c>
    </row>
    <row r="30" spans="1:82" x14ac:dyDescent="0.2">
      <c r="A30" s="11">
        <v>-50</v>
      </c>
      <c r="B30" s="72">
        <v>-50.1</v>
      </c>
      <c r="C30" s="72">
        <v>-50.1</v>
      </c>
      <c r="D30" s="72">
        <v>-50.1</v>
      </c>
      <c r="E30" s="72">
        <v>-49.9</v>
      </c>
      <c r="F30" s="72">
        <v>-49.9</v>
      </c>
      <c r="G30" s="72">
        <v>-49.9</v>
      </c>
      <c r="H30" s="71" t="str">
        <f t="shared" si="78"/>
        <v/>
      </c>
      <c r="I30" s="11">
        <v>-50</v>
      </c>
      <c r="J30" s="72">
        <v>-50.3</v>
      </c>
      <c r="K30" s="72">
        <v>-49.8</v>
      </c>
      <c r="L30" s="72">
        <v>-50</v>
      </c>
      <c r="M30" s="72">
        <v>-50</v>
      </c>
      <c r="P30" s="71" t="str">
        <f t="shared" si="77"/>
        <v/>
      </c>
      <c r="R30" s="11">
        <v>-50</v>
      </c>
      <c r="S30" s="72"/>
      <c r="T30" s="72"/>
      <c r="U30" s="72"/>
      <c r="V30" s="72"/>
      <c r="W30" s="72"/>
      <c r="X30" s="72"/>
      <c r="Z30" s="11">
        <v>-50</v>
      </c>
      <c r="AA30" s="72"/>
      <c r="AB30" s="72"/>
      <c r="AC30" s="72"/>
      <c r="AD30" s="72"/>
      <c r="AH30" s="11">
        <v>-50</v>
      </c>
      <c r="AI30" s="13">
        <f t="shared" ref="AI30:AN30" si="89">IF(B30&gt;($A$30+1),1,0)</f>
        <v>0</v>
      </c>
      <c r="AJ30" s="13">
        <f t="shared" si="89"/>
        <v>0</v>
      </c>
      <c r="AK30" s="13">
        <f t="shared" si="89"/>
        <v>0</v>
      </c>
      <c r="AL30" s="13">
        <f t="shared" si="89"/>
        <v>0</v>
      </c>
      <c r="AM30" s="13">
        <f t="shared" si="89"/>
        <v>0</v>
      </c>
      <c r="AN30" s="13">
        <f t="shared" si="89"/>
        <v>0</v>
      </c>
      <c r="AO30" s="70">
        <f t="shared" si="80"/>
        <v>0</v>
      </c>
      <c r="AP30" s="11">
        <v>-50</v>
      </c>
      <c r="AQ30" s="13">
        <f>IF(J30&gt;($I$30+1),1,0)</f>
        <v>0</v>
      </c>
      <c r="AR30" s="13">
        <f>IF(K30&gt;($I$30+1),1,0)</f>
        <v>0</v>
      </c>
      <c r="AS30" s="13">
        <f>IF(L30&gt;($I$30+1),1,0)</f>
        <v>0</v>
      </c>
      <c r="AT30" s="13">
        <f>IF(M30&gt;($I$30+1),1,0)</f>
        <v>0</v>
      </c>
      <c r="AV30" s="68"/>
      <c r="AW30" s="70">
        <f t="shared" si="81"/>
        <v>0</v>
      </c>
      <c r="AX30" s="11">
        <v>-50</v>
      </c>
      <c r="AY30" s="13">
        <f t="shared" ref="AY30:BD30" si="90">IF(B30&lt;($A$30-1),1,0)</f>
        <v>0</v>
      </c>
      <c r="AZ30" s="13">
        <f t="shared" si="90"/>
        <v>0</v>
      </c>
      <c r="BA30" s="13">
        <f t="shared" si="90"/>
        <v>0</v>
      </c>
      <c r="BB30" s="13">
        <f t="shared" si="90"/>
        <v>0</v>
      </c>
      <c r="BC30" s="13">
        <f t="shared" si="90"/>
        <v>0</v>
      </c>
      <c r="BD30" s="13">
        <f t="shared" si="90"/>
        <v>0</v>
      </c>
      <c r="BE30" s="70">
        <f t="shared" si="83"/>
        <v>0</v>
      </c>
      <c r="BF30" s="11">
        <v>-50</v>
      </c>
      <c r="BG30" s="13">
        <f>IF(J30&lt;($I$30-1),1,0)</f>
        <v>0</v>
      </c>
      <c r="BH30" s="13">
        <f>IF(K30&lt;($I$30-1),1,0)</f>
        <v>0</v>
      </c>
      <c r="BI30" s="13">
        <f>IF(L30&lt;($I$30-1),1,0)</f>
        <v>0</v>
      </c>
      <c r="BJ30" s="13">
        <f>IF(M30&lt;($I$30-1),1,0)</f>
        <v>0</v>
      </c>
      <c r="BL30" s="68"/>
      <c r="BM30" s="70">
        <f t="shared" si="84"/>
        <v>0</v>
      </c>
      <c r="BP30" s="11">
        <v>-50</v>
      </c>
      <c r="BQ30" s="12">
        <f t="shared" ref="BQ30:BQ34" si="91">B30-$A30</f>
        <v>-0.10000000000000142</v>
      </c>
      <c r="BR30" s="12">
        <f t="shared" si="85"/>
        <v>-0.10000000000000142</v>
      </c>
      <c r="BS30" s="12">
        <f t="shared" si="85"/>
        <v>-0.10000000000000142</v>
      </c>
      <c r="BT30" s="12">
        <f t="shared" si="85"/>
        <v>0.10000000000000142</v>
      </c>
      <c r="BU30" s="12">
        <f t="shared" si="85"/>
        <v>0.10000000000000142</v>
      </c>
      <c r="BV30" s="12">
        <f t="shared" si="85"/>
        <v>0.10000000000000142</v>
      </c>
      <c r="BX30" s="11">
        <v>-50</v>
      </c>
      <c r="BY30" s="13">
        <f t="shared" ref="BY30:BY34" si="92">J30-$I30</f>
        <v>-0.29999999999999716</v>
      </c>
      <c r="BZ30" s="13">
        <f t="shared" si="86"/>
        <v>0.20000000000000284</v>
      </c>
      <c r="CA30" s="13">
        <f t="shared" si="87"/>
        <v>0</v>
      </c>
      <c r="CB30" s="13">
        <f t="shared" si="88"/>
        <v>0</v>
      </c>
    </row>
    <row r="31" spans="1:82" x14ac:dyDescent="0.2">
      <c r="A31" s="11">
        <v>0</v>
      </c>
      <c r="B31" s="72">
        <v>0.1</v>
      </c>
      <c r="C31" s="72">
        <v>-0.2</v>
      </c>
      <c r="D31" s="72">
        <v>-0.2</v>
      </c>
      <c r="E31" s="72">
        <v>0.1</v>
      </c>
      <c r="F31" s="72">
        <v>-0.1</v>
      </c>
      <c r="G31" s="72">
        <v>0.1</v>
      </c>
      <c r="H31" s="71" t="str">
        <f t="shared" si="78"/>
        <v/>
      </c>
      <c r="I31" s="11">
        <v>0</v>
      </c>
      <c r="J31" s="72">
        <v>0.3</v>
      </c>
      <c r="K31" s="72">
        <v>0.2</v>
      </c>
      <c r="L31" s="72">
        <v>0.2</v>
      </c>
      <c r="M31" s="72">
        <v>0.2</v>
      </c>
      <c r="P31" s="71" t="str">
        <f t="shared" si="77"/>
        <v/>
      </c>
      <c r="R31" s="11">
        <v>0</v>
      </c>
      <c r="S31" s="72"/>
      <c r="T31" s="72"/>
      <c r="U31" s="72"/>
      <c r="V31" s="72"/>
      <c r="W31" s="72"/>
      <c r="X31" s="72"/>
      <c r="Z31" s="11">
        <v>0</v>
      </c>
      <c r="AA31" s="72"/>
      <c r="AB31" s="72"/>
      <c r="AC31" s="72"/>
      <c r="AD31" s="72"/>
      <c r="AH31" s="11">
        <v>0</v>
      </c>
      <c r="AI31" s="13">
        <f t="shared" ref="AI31:AN31" si="93">IF(B31&gt;($A$31+1),1,0)</f>
        <v>0</v>
      </c>
      <c r="AJ31" s="13">
        <f t="shared" si="93"/>
        <v>0</v>
      </c>
      <c r="AK31" s="13">
        <f t="shared" si="93"/>
        <v>0</v>
      </c>
      <c r="AL31" s="13">
        <f t="shared" si="93"/>
        <v>0</v>
      </c>
      <c r="AM31" s="13">
        <f t="shared" si="93"/>
        <v>0</v>
      </c>
      <c r="AN31" s="13">
        <f t="shared" si="93"/>
        <v>0</v>
      </c>
      <c r="AO31" s="70">
        <f t="shared" si="80"/>
        <v>0</v>
      </c>
      <c r="AP31" s="11">
        <v>0</v>
      </c>
      <c r="AQ31" s="13">
        <f>IF(J31&gt;($I$31+1),1,0)</f>
        <v>0</v>
      </c>
      <c r="AR31" s="13">
        <f>IF(K31&gt;($I$31+1),1,0)</f>
        <v>0</v>
      </c>
      <c r="AS31" s="13">
        <f>IF(L31&gt;($I$31+1),1,0)</f>
        <v>0</v>
      </c>
      <c r="AT31" s="13">
        <f>IF(M31&gt;($I$31+1),1,0)</f>
        <v>0</v>
      </c>
      <c r="AV31" s="68"/>
      <c r="AW31" s="70">
        <f t="shared" si="81"/>
        <v>0</v>
      </c>
      <c r="AX31" s="11">
        <v>0</v>
      </c>
      <c r="AY31" s="13">
        <f t="shared" ref="AY31:BD31" si="94">IF(B31&lt;($A$31-1),1,0)</f>
        <v>0</v>
      </c>
      <c r="AZ31" s="13">
        <f t="shared" si="94"/>
        <v>0</v>
      </c>
      <c r="BA31" s="13">
        <f t="shared" si="94"/>
        <v>0</v>
      </c>
      <c r="BB31" s="13">
        <f t="shared" si="94"/>
        <v>0</v>
      </c>
      <c r="BC31" s="13">
        <f t="shared" si="94"/>
        <v>0</v>
      </c>
      <c r="BD31" s="13">
        <f t="shared" si="94"/>
        <v>0</v>
      </c>
      <c r="BE31" s="70">
        <f t="shared" si="83"/>
        <v>0</v>
      </c>
      <c r="BF31" s="11">
        <v>0</v>
      </c>
      <c r="BG31" s="13">
        <f>IF(J31&lt;($I$31-1),1,0)</f>
        <v>0</v>
      </c>
      <c r="BH31" s="13">
        <f>IF(K31&lt;($I$31-1),1,0)</f>
        <v>0</v>
      </c>
      <c r="BI31" s="13">
        <f>IF(L31&lt;($I$31-1),1,0)</f>
        <v>0</v>
      </c>
      <c r="BJ31" s="13">
        <f>IF(M31&lt;($I$31-1),1,0)</f>
        <v>0</v>
      </c>
      <c r="BL31" s="68"/>
      <c r="BM31" s="70">
        <f t="shared" si="84"/>
        <v>0</v>
      </c>
      <c r="BP31" s="11">
        <v>0</v>
      </c>
      <c r="BQ31" s="12">
        <f t="shared" si="91"/>
        <v>0.1</v>
      </c>
      <c r="BR31" s="12">
        <f t="shared" si="85"/>
        <v>-0.2</v>
      </c>
      <c r="BS31" s="12">
        <f t="shared" si="85"/>
        <v>-0.2</v>
      </c>
      <c r="BT31" s="12">
        <f t="shared" si="85"/>
        <v>0.1</v>
      </c>
      <c r="BU31" s="12">
        <f t="shared" si="85"/>
        <v>-0.1</v>
      </c>
      <c r="BV31" s="12">
        <f t="shared" si="85"/>
        <v>0.1</v>
      </c>
      <c r="BX31" s="11">
        <v>0</v>
      </c>
      <c r="BY31" s="13">
        <f t="shared" si="92"/>
        <v>0.3</v>
      </c>
      <c r="BZ31" s="13">
        <f t="shared" si="86"/>
        <v>0.2</v>
      </c>
      <c r="CA31" s="13">
        <f t="shared" si="87"/>
        <v>0.2</v>
      </c>
      <c r="CB31" s="13">
        <f t="shared" si="88"/>
        <v>0.2</v>
      </c>
    </row>
    <row r="32" spans="1:82" x14ac:dyDescent="0.2">
      <c r="A32" s="11">
        <v>250</v>
      </c>
      <c r="B32" s="72">
        <v>250.1</v>
      </c>
      <c r="C32" s="72">
        <v>249.8</v>
      </c>
      <c r="D32" s="72">
        <v>249.8</v>
      </c>
      <c r="E32" s="72">
        <v>250.2</v>
      </c>
      <c r="F32" s="72">
        <v>250</v>
      </c>
      <c r="G32" s="72">
        <v>250.1</v>
      </c>
      <c r="H32" s="71" t="str">
        <f t="shared" si="78"/>
        <v/>
      </c>
      <c r="I32" s="11">
        <v>250</v>
      </c>
      <c r="J32" s="72">
        <v>250.3</v>
      </c>
      <c r="K32" s="72">
        <v>250.2</v>
      </c>
      <c r="L32" s="72">
        <v>250.3</v>
      </c>
      <c r="M32" s="72">
        <v>250.1</v>
      </c>
      <c r="P32" s="71" t="str">
        <f t="shared" si="77"/>
        <v/>
      </c>
      <c r="R32" s="11">
        <v>250</v>
      </c>
      <c r="S32" s="72"/>
      <c r="T32" s="72"/>
      <c r="U32" s="72"/>
      <c r="V32" s="72"/>
      <c r="W32" s="72"/>
      <c r="X32" s="72"/>
      <c r="Z32" s="11">
        <v>250</v>
      </c>
      <c r="AA32" s="72"/>
      <c r="AB32" s="72"/>
      <c r="AC32" s="72"/>
      <c r="AD32" s="72"/>
      <c r="AH32" s="11">
        <v>250</v>
      </c>
      <c r="AI32" s="13">
        <f t="shared" ref="AI32:AN32" si="95">IF(B32&gt;($A$32+1),1,0)</f>
        <v>0</v>
      </c>
      <c r="AJ32" s="13">
        <f t="shared" si="95"/>
        <v>0</v>
      </c>
      <c r="AK32" s="13">
        <f t="shared" si="95"/>
        <v>0</v>
      </c>
      <c r="AL32" s="13">
        <f t="shared" si="95"/>
        <v>0</v>
      </c>
      <c r="AM32" s="13">
        <f t="shared" si="95"/>
        <v>0</v>
      </c>
      <c r="AN32" s="13">
        <f t="shared" si="95"/>
        <v>0</v>
      </c>
      <c r="AO32" s="70">
        <f t="shared" si="80"/>
        <v>0</v>
      </c>
      <c r="AP32" s="11">
        <v>250</v>
      </c>
      <c r="AQ32" s="13">
        <f>IF(J32&gt;($I$32+1),1,0)</f>
        <v>0</v>
      </c>
      <c r="AR32" s="13">
        <f>IF(K32&gt;($I$32+1),1,0)</f>
        <v>0</v>
      </c>
      <c r="AS32" s="13">
        <f>IF(L32&gt;($I$32+1),1,0)</f>
        <v>0</v>
      </c>
      <c r="AT32" s="13">
        <f>IF(M32&gt;($I$32+1),1,0)</f>
        <v>0</v>
      </c>
      <c r="AV32" s="68"/>
      <c r="AW32" s="70">
        <f t="shared" si="81"/>
        <v>0</v>
      </c>
      <c r="AX32" s="11">
        <v>250</v>
      </c>
      <c r="AY32" s="13">
        <f t="shared" ref="AY32:BD32" si="96">IF(B32&lt;($A$32-1),1,0)</f>
        <v>0</v>
      </c>
      <c r="AZ32" s="13">
        <f t="shared" si="96"/>
        <v>0</v>
      </c>
      <c r="BA32" s="13">
        <f t="shared" si="96"/>
        <v>0</v>
      </c>
      <c r="BB32" s="13">
        <f t="shared" si="96"/>
        <v>0</v>
      </c>
      <c r="BC32" s="13">
        <f t="shared" si="96"/>
        <v>0</v>
      </c>
      <c r="BD32" s="13">
        <f t="shared" si="96"/>
        <v>0</v>
      </c>
      <c r="BE32" s="70">
        <f t="shared" si="83"/>
        <v>0</v>
      </c>
      <c r="BF32" s="11">
        <v>250</v>
      </c>
      <c r="BG32" s="13">
        <f>IF(J32&lt;($I$32-1),1,0)</f>
        <v>0</v>
      </c>
      <c r="BH32" s="13">
        <f>IF(K32&lt;($I$32-1),1,0)</f>
        <v>0</v>
      </c>
      <c r="BI32" s="13">
        <f>IF(L32&lt;($I$32-1),1,0)</f>
        <v>0</v>
      </c>
      <c r="BJ32" s="13">
        <f>IF(M32&lt;($I$32-1),1,0)</f>
        <v>0</v>
      </c>
      <c r="BL32" s="68"/>
      <c r="BM32" s="70">
        <f t="shared" si="84"/>
        <v>0</v>
      </c>
      <c r="BP32" s="11">
        <v>250</v>
      </c>
      <c r="BQ32" s="12">
        <f t="shared" si="91"/>
        <v>9.9999999999994316E-2</v>
      </c>
      <c r="BR32" s="12">
        <f t="shared" si="85"/>
        <v>-0.19999999999998863</v>
      </c>
      <c r="BS32" s="12">
        <f t="shared" si="85"/>
        <v>-0.19999999999998863</v>
      </c>
      <c r="BT32" s="12">
        <f t="shared" si="85"/>
        <v>0.19999999999998863</v>
      </c>
      <c r="BU32" s="12">
        <f t="shared" si="85"/>
        <v>0</v>
      </c>
      <c r="BV32" s="12">
        <f t="shared" si="85"/>
        <v>9.9999999999994316E-2</v>
      </c>
      <c r="BX32" s="11">
        <v>250</v>
      </c>
      <c r="BY32" s="13">
        <f t="shared" si="92"/>
        <v>0.30000000000001137</v>
      </c>
      <c r="BZ32" s="13">
        <f t="shared" si="86"/>
        <v>0.19999999999998863</v>
      </c>
      <c r="CA32" s="13">
        <f t="shared" si="87"/>
        <v>0.30000000000001137</v>
      </c>
      <c r="CB32" s="13">
        <f t="shared" si="88"/>
        <v>9.9999999999994316E-2</v>
      </c>
    </row>
    <row r="33" spans="1:80" x14ac:dyDescent="0.2">
      <c r="A33" s="11">
        <v>500</v>
      </c>
      <c r="B33" s="72">
        <v>500.1</v>
      </c>
      <c r="C33" s="72">
        <v>499.8</v>
      </c>
      <c r="D33" s="72">
        <v>499.7</v>
      </c>
      <c r="E33" s="72">
        <v>500.1</v>
      </c>
      <c r="F33" s="72">
        <v>500</v>
      </c>
      <c r="G33" s="72">
        <v>500.1</v>
      </c>
      <c r="H33" s="71" t="str">
        <f t="shared" si="78"/>
        <v/>
      </c>
      <c r="I33" s="11">
        <v>500</v>
      </c>
      <c r="J33" s="72">
        <v>500.4</v>
      </c>
      <c r="K33" s="72">
        <v>500.3</v>
      </c>
      <c r="L33" s="72">
        <v>500</v>
      </c>
      <c r="M33" s="72">
        <v>500.1</v>
      </c>
      <c r="P33" s="71" t="str">
        <f t="shared" si="77"/>
        <v/>
      </c>
      <c r="R33" s="11">
        <v>500</v>
      </c>
      <c r="S33" s="72"/>
      <c r="T33" s="72"/>
      <c r="U33" s="72"/>
      <c r="V33" s="72"/>
      <c r="W33" s="72"/>
      <c r="X33" s="72"/>
      <c r="Z33" s="11">
        <v>500</v>
      </c>
      <c r="AA33" s="72"/>
      <c r="AB33" s="72"/>
      <c r="AC33" s="72"/>
      <c r="AD33" s="72"/>
      <c r="AH33" s="11">
        <v>500</v>
      </c>
      <c r="AI33" s="13">
        <f t="shared" ref="AI33:AN33" si="97">IF(B33&gt;($A$33+1),1,0)</f>
        <v>0</v>
      </c>
      <c r="AJ33" s="13">
        <f t="shared" si="97"/>
        <v>0</v>
      </c>
      <c r="AK33" s="13">
        <f t="shared" si="97"/>
        <v>0</v>
      </c>
      <c r="AL33" s="13">
        <f t="shared" si="97"/>
        <v>0</v>
      </c>
      <c r="AM33" s="13">
        <f t="shared" si="97"/>
        <v>0</v>
      </c>
      <c r="AN33" s="13">
        <f t="shared" si="97"/>
        <v>0</v>
      </c>
      <c r="AO33" s="70">
        <f t="shared" si="80"/>
        <v>0</v>
      </c>
      <c r="AP33" s="11">
        <v>500</v>
      </c>
      <c r="AQ33" s="13">
        <f>IF(J33&gt;($I$33+1),1,0)</f>
        <v>0</v>
      </c>
      <c r="AR33" s="13">
        <f>IF(K33&gt;($I$33+1),1,0)</f>
        <v>0</v>
      </c>
      <c r="AS33" s="13">
        <f>IF(L33&gt;($I$33+1),1,0)</f>
        <v>0</v>
      </c>
      <c r="AT33" s="13">
        <f>IF(M33&gt;($I$33+1),1,0)</f>
        <v>0</v>
      </c>
      <c r="AV33" s="68"/>
      <c r="AW33" s="70">
        <f t="shared" si="81"/>
        <v>0</v>
      </c>
      <c r="AX33" s="11">
        <v>500</v>
      </c>
      <c r="AY33" s="13">
        <f t="shared" ref="AY33:BD33" si="98">IF(B33&lt;($A$33-1),1,0)</f>
        <v>0</v>
      </c>
      <c r="AZ33" s="13">
        <f t="shared" si="98"/>
        <v>0</v>
      </c>
      <c r="BA33" s="13">
        <f t="shared" si="98"/>
        <v>0</v>
      </c>
      <c r="BB33" s="13">
        <f t="shared" si="98"/>
        <v>0</v>
      </c>
      <c r="BC33" s="13">
        <f t="shared" si="98"/>
        <v>0</v>
      </c>
      <c r="BD33" s="13">
        <f t="shared" si="98"/>
        <v>0</v>
      </c>
      <c r="BE33" s="70">
        <f t="shared" si="83"/>
        <v>0</v>
      </c>
      <c r="BF33" s="11">
        <v>500</v>
      </c>
      <c r="BG33" s="13">
        <f>IF(J33&lt;($I$33-1),1,0)</f>
        <v>0</v>
      </c>
      <c r="BH33" s="13">
        <f>IF(K33&lt;($I$33-1),1,0)</f>
        <v>0</v>
      </c>
      <c r="BI33" s="13">
        <f>IF(L33&lt;($I$33-1),1,0)</f>
        <v>0</v>
      </c>
      <c r="BJ33" s="13">
        <f>IF(M33&lt;($I$33-1),1,0)</f>
        <v>0</v>
      </c>
      <c r="BL33" s="68"/>
      <c r="BM33" s="70">
        <f t="shared" si="84"/>
        <v>0</v>
      </c>
      <c r="BP33" s="11">
        <v>500</v>
      </c>
      <c r="BQ33" s="12">
        <f t="shared" si="91"/>
        <v>0.10000000000002274</v>
      </c>
      <c r="BR33" s="12">
        <f t="shared" si="85"/>
        <v>-0.19999999999998863</v>
      </c>
      <c r="BS33" s="12">
        <f t="shared" si="85"/>
        <v>-0.30000000000001137</v>
      </c>
      <c r="BT33" s="12">
        <f t="shared" si="85"/>
        <v>0.10000000000002274</v>
      </c>
      <c r="BU33" s="12">
        <f t="shared" si="85"/>
        <v>0</v>
      </c>
      <c r="BV33" s="12">
        <f t="shared" si="85"/>
        <v>0.10000000000002274</v>
      </c>
      <c r="BX33" s="11">
        <v>500</v>
      </c>
      <c r="BY33" s="13">
        <f t="shared" si="92"/>
        <v>0.39999999999997726</v>
      </c>
      <c r="BZ33" s="13">
        <f t="shared" si="86"/>
        <v>0.30000000000001137</v>
      </c>
      <c r="CA33" s="13">
        <f t="shared" si="87"/>
        <v>0</v>
      </c>
      <c r="CB33" s="13">
        <f t="shared" si="88"/>
        <v>0.10000000000002274</v>
      </c>
    </row>
    <row r="34" spans="1:80" x14ac:dyDescent="0.2">
      <c r="A34" s="11">
        <v>1000</v>
      </c>
      <c r="B34" s="72">
        <v>1000.1</v>
      </c>
      <c r="C34" s="72">
        <v>999.8</v>
      </c>
      <c r="D34" s="72">
        <v>999.7</v>
      </c>
      <c r="E34" s="72">
        <v>1000.1</v>
      </c>
      <c r="F34" s="72">
        <v>1000</v>
      </c>
      <c r="G34" s="72">
        <v>1000.1</v>
      </c>
      <c r="H34" s="71" t="str">
        <f t="shared" si="78"/>
        <v/>
      </c>
      <c r="I34" s="11">
        <v>1000</v>
      </c>
      <c r="J34" s="72">
        <v>1000.5</v>
      </c>
      <c r="K34" s="72">
        <v>1000.3</v>
      </c>
      <c r="L34" s="72">
        <v>1000.1</v>
      </c>
      <c r="M34" s="72">
        <v>1000.1</v>
      </c>
      <c r="P34" s="71" t="str">
        <f t="shared" si="77"/>
        <v/>
      </c>
      <c r="R34" s="11">
        <v>1000</v>
      </c>
      <c r="S34" s="72"/>
      <c r="T34" s="72"/>
      <c r="U34" s="72"/>
      <c r="V34" s="72"/>
      <c r="W34" s="72"/>
      <c r="X34" s="72"/>
      <c r="Z34" s="11">
        <v>1000</v>
      </c>
      <c r="AA34" s="72"/>
      <c r="AB34" s="72"/>
      <c r="AC34" s="72"/>
      <c r="AD34" s="72"/>
      <c r="AH34" s="11">
        <v>1000</v>
      </c>
      <c r="AI34" s="13">
        <f t="shared" ref="AI34:AN34" si="99">IF(B34&gt;($A$34+1),1,0)</f>
        <v>0</v>
      </c>
      <c r="AJ34" s="13">
        <f t="shared" si="99"/>
        <v>0</v>
      </c>
      <c r="AK34" s="13">
        <f t="shared" si="99"/>
        <v>0</v>
      </c>
      <c r="AL34" s="13">
        <f t="shared" si="99"/>
        <v>0</v>
      </c>
      <c r="AM34" s="13">
        <f t="shared" si="99"/>
        <v>0</v>
      </c>
      <c r="AN34" s="13">
        <f t="shared" si="99"/>
        <v>0</v>
      </c>
      <c r="AO34" s="70">
        <f t="shared" si="80"/>
        <v>0</v>
      </c>
      <c r="AP34" s="11">
        <v>1000</v>
      </c>
      <c r="AQ34" s="13">
        <f>IF(J34&gt;($I$34+1),1,0)</f>
        <v>0</v>
      </c>
      <c r="AR34" s="13">
        <f>IF(K34&gt;($I$34+1),1,0)</f>
        <v>0</v>
      </c>
      <c r="AS34" s="13">
        <f>IF(L34&gt;($I$34+1),1,0)</f>
        <v>0</v>
      </c>
      <c r="AT34" s="13">
        <f>IF(M34&gt;($I$34+1),1,0)</f>
        <v>0</v>
      </c>
      <c r="AV34" s="68"/>
      <c r="AW34" s="70">
        <f t="shared" si="81"/>
        <v>0</v>
      </c>
      <c r="AX34" s="11">
        <v>1000</v>
      </c>
      <c r="AY34" s="13">
        <f t="shared" ref="AY34:BD34" si="100">IF(B34&lt;($A$34-1),1,0)</f>
        <v>0</v>
      </c>
      <c r="AZ34" s="13">
        <f t="shared" si="100"/>
        <v>0</v>
      </c>
      <c r="BA34" s="13">
        <f t="shared" si="100"/>
        <v>0</v>
      </c>
      <c r="BB34" s="13">
        <f t="shared" si="100"/>
        <v>0</v>
      </c>
      <c r="BC34" s="13">
        <f t="shared" si="100"/>
        <v>0</v>
      </c>
      <c r="BD34" s="13">
        <f t="shared" si="100"/>
        <v>0</v>
      </c>
      <c r="BE34" s="70">
        <f t="shared" si="83"/>
        <v>0</v>
      </c>
      <c r="BF34" s="11">
        <v>1000</v>
      </c>
      <c r="BG34" s="13">
        <f>IF(J34&lt;($I$34-1),1,0)</f>
        <v>0</v>
      </c>
      <c r="BH34" s="13">
        <f>IF(K34&lt;($I$34-1),1,0)</f>
        <v>0</v>
      </c>
      <c r="BI34" s="13">
        <f>IF(L34&lt;($I$34-1),1,0)</f>
        <v>0</v>
      </c>
      <c r="BJ34" s="13">
        <f>IF(M34&lt;($I$34-1),1,0)</f>
        <v>0</v>
      </c>
      <c r="BL34" s="68"/>
      <c r="BM34" s="70">
        <f t="shared" si="84"/>
        <v>0</v>
      </c>
      <c r="BP34" s="11">
        <v>1000</v>
      </c>
      <c r="BQ34" s="12">
        <f t="shared" si="91"/>
        <v>0.10000000000002274</v>
      </c>
      <c r="BR34" s="12">
        <f t="shared" si="85"/>
        <v>-0.20000000000004547</v>
      </c>
      <c r="BS34" s="12">
        <f t="shared" si="85"/>
        <v>-0.29999999999995453</v>
      </c>
      <c r="BT34" s="12">
        <f t="shared" si="85"/>
        <v>0.10000000000002274</v>
      </c>
      <c r="BU34" s="12">
        <f t="shared" si="85"/>
        <v>0</v>
      </c>
      <c r="BV34" s="12">
        <f t="shared" si="85"/>
        <v>0.10000000000002274</v>
      </c>
      <c r="BX34" s="11">
        <v>1000</v>
      </c>
      <c r="BY34" s="13">
        <f t="shared" si="92"/>
        <v>0.5</v>
      </c>
      <c r="BZ34" s="13">
        <f t="shared" si="86"/>
        <v>0.29999999999995453</v>
      </c>
      <c r="CA34" s="13">
        <f t="shared" si="87"/>
        <v>0.10000000000002274</v>
      </c>
      <c r="CB34" s="13">
        <f t="shared" si="88"/>
        <v>0.10000000000002274</v>
      </c>
    </row>
    <row r="35" spans="1:80" x14ac:dyDescent="0.2">
      <c r="A35" s="11"/>
      <c r="B35" s="13"/>
      <c r="C35" s="13"/>
      <c r="D35" s="13"/>
      <c r="E35" s="13"/>
      <c r="F35" s="13"/>
      <c r="G35" s="13"/>
      <c r="R35" s="11"/>
      <c r="S35" s="13"/>
      <c r="T35" s="13"/>
      <c r="U35" s="13"/>
      <c r="V35" s="13"/>
      <c r="W35" s="13"/>
      <c r="X35" s="13"/>
      <c r="AH35" s="11"/>
      <c r="AI35" s="13"/>
      <c r="AJ35" s="13"/>
      <c r="AK35" s="13"/>
      <c r="AL35" s="13"/>
      <c r="AM35" s="13"/>
      <c r="AN35" s="13"/>
      <c r="AV35" s="68"/>
      <c r="AX35" s="11"/>
      <c r="AY35" s="13"/>
      <c r="AZ35" s="13"/>
      <c r="BA35" s="13"/>
      <c r="BB35" s="13"/>
      <c r="BC35" s="13"/>
      <c r="BD35" s="13"/>
      <c r="BL35" s="68"/>
    </row>
    <row r="36" spans="1:80" x14ac:dyDescent="0.2">
      <c r="A36" s="11" t="s">
        <v>9</v>
      </c>
      <c r="B36" s="12">
        <v>19</v>
      </c>
      <c r="C36" s="12">
        <v>20</v>
      </c>
      <c r="D36" s="12">
        <v>21</v>
      </c>
      <c r="E36" s="12">
        <v>22</v>
      </c>
      <c r="F36" s="12">
        <v>23</v>
      </c>
      <c r="G36" s="12">
        <v>24</v>
      </c>
      <c r="R36" s="11" t="s">
        <v>9</v>
      </c>
      <c r="S36" s="12">
        <v>19</v>
      </c>
      <c r="T36" s="12">
        <v>20</v>
      </c>
      <c r="U36" s="12">
        <v>21</v>
      </c>
      <c r="V36" s="12">
        <v>22</v>
      </c>
      <c r="W36" s="12">
        <v>23</v>
      </c>
      <c r="X36" s="12">
        <v>24</v>
      </c>
      <c r="AH36" s="11" t="s">
        <v>9</v>
      </c>
      <c r="AI36" s="12">
        <v>19</v>
      </c>
      <c r="AJ36" s="12">
        <v>20</v>
      </c>
      <c r="AK36" s="12">
        <v>21</v>
      </c>
      <c r="AL36" s="12">
        <v>22</v>
      </c>
      <c r="AM36" s="12">
        <v>23</v>
      </c>
      <c r="AN36" s="12">
        <v>24</v>
      </c>
      <c r="AV36" s="68"/>
      <c r="AX36" s="11" t="s">
        <v>9</v>
      </c>
      <c r="AY36" s="12">
        <v>19</v>
      </c>
      <c r="AZ36" s="12">
        <v>20</v>
      </c>
      <c r="BA36" s="12">
        <v>21</v>
      </c>
      <c r="BB36" s="12">
        <v>22</v>
      </c>
      <c r="BC36" s="12">
        <v>23</v>
      </c>
      <c r="BD36" s="12">
        <v>24</v>
      </c>
      <c r="BL36" s="68"/>
      <c r="BP36" s="11" t="s">
        <v>9</v>
      </c>
      <c r="BQ36" s="12">
        <v>19</v>
      </c>
      <c r="BR36" s="12">
        <v>20</v>
      </c>
      <c r="BS36" s="12">
        <v>21</v>
      </c>
      <c r="BT36" s="12">
        <v>22</v>
      </c>
      <c r="BU36" s="12">
        <v>23</v>
      </c>
      <c r="BV36" s="12">
        <v>24</v>
      </c>
    </row>
    <row r="37" spans="1:80" x14ac:dyDescent="0.2">
      <c r="A37" s="11">
        <v>-100</v>
      </c>
      <c r="B37" s="72">
        <v>-100.1</v>
      </c>
      <c r="C37" s="72">
        <v>-100.1</v>
      </c>
      <c r="D37" s="72">
        <v>-100.1</v>
      </c>
      <c r="E37" s="72">
        <v>-100</v>
      </c>
      <c r="F37" s="72">
        <v>-100.2</v>
      </c>
      <c r="G37" s="72">
        <v>-99.8</v>
      </c>
      <c r="H37" s="71" t="str">
        <f t="shared" ref="H37:H42" si="101">IF((AO37+BE37)&gt;0,"OOT","")</f>
        <v/>
      </c>
      <c r="R37" s="11">
        <v>-100</v>
      </c>
      <c r="S37" s="72"/>
      <c r="T37" s="72"/>
      <c r="U37" s="72"/>
      <c r="V37" s="72"/>
      <c r="W37" s="72"/>
      <c r="X37" s="72"/>
      <c r="AH37" s="11">
        <v>-100</v>
      </c>
      <c r="AI37" s="13">
        <f t="shared" ref="AI37:AN37" si="102">IF(B37&gt;($A$37+1),1,0)</f>
        <v>0</v>
      </c>
      <c r="AJ37" s="13">
        <f t="shared" si="102"/>
        <v>0</v>
      </c>
      <c r="AK37" s="13">
        <f t="shared" si="102"/>
        <v>0</v>
      </c>
      <c r="AL37" s="13">
        <f t="shared" si="102"/>
        <v>0</v>
      </c>
      <c r="AM37" s="13">
        <f t="shared" si="102"/>
        <v>0</v>
      </c>
      <c r="AN37" s="13">
        <f t="shared" si="102"/>
        <v>0</v>
      </c>
      <c r="AO37" s="70">
        <f t="shared" ref="AO37:AO42" si="103">SUM(AI37:AN37)</f>
        <v>0</v>
      </c>
      <c r="AV37" s="68"/>
      <c r="AX37" s="11">
        <v>-100</v>
      </c>
      <c r="AY37" s="13">
        <f t="shared" ref="AY37:BD37" si="104">IF(B37&lt;($A$37-1),1,0)</f>
        <v>0</v>
      </c>
      <c r="AZ37" s="13">
        <f t="shared" si="104"/>
        <v>0</v>
      </c>
      <c r="BA37" s="13">
        <f t="shared" si="104"/>
        <v>0</v>
      </c>
      <c r="BB37" s="13">
        <f t="shared" si="104"/>
        <v>0</v>
      </c>
      <c r="BC37" s="13">
        <f t="shared" si="104"/>
        <v>0</v>
      </c>
      <c r="BD37" s="13">
        <f t="shared" si="104"/>
        <v>0</v>
      </c>
      <c r="BE37" s="70">
        <f t="shared" ref="BE37:BE42" si="105">SUM(AY37:BD37)</f>
        <v>0</v>
      </c>
      <c r="BL37" s="68"/>
      <c r="BP37" s="11">
        <v>-100</v>
      </c>
      <c r="BQ37" s="12">
        <f>B37-$A37</f>
        <v>-9.9999999999994316E-2</v>
      </c>
      <c r="BR37" s="12">
        <f t="shared" ref="BR37:BV42" si="106">C37-$A37</f>
        <v>-9.9999999999994316E-2</v>
      </c>
      <c r="BS37" s="12">
        <f t="shared" si="106"/>
        <v>-9.9999999999994316E-2</v>
      </c>
      <c r="BT37" s="12">
        <f t="shared" si="106"/>
        <v>0</v>
      </c>
      <c r="BU37" s="12">
        <f t="shared" si="106"/>
        <v>-0.20000000000000284</v>
      </c>
      <c r="BV37" s="12">
        <f t="shared" si="106"/>
        <v>0.20000000000000284</v>
      </c>
    </row>
    <row r="38" spans="1:80" x14ac:dyDescent="0.2">
      <c r="A38" s="11">
        <v>-50</v>
      </c>
      <c r="B38" s="72">
        <v>-49.9</v>
      </c>
      <c r="C38" s="72">
        <v>-50.1</v>
      </c>
      <c r="D38" s="72">
        <v>-49.9</v>
      </c>
      <c r="E38" s="72">
        <v>-49.9</v>
      </c>
      <c r="F38" s="72">
        <v>-50.2</v>
      </c>
      <c r="G38" s="72">
        <v>-49.8</v>
      </c>
      <c r="H38" s="71" t="str">
        <f t="shared" si="101"/>
        <v/>
      </c>
      <c r="R38" s="11">
        <v>-50</v>
      </c>
      <c r="S38" s="72"/>
      <c r="T38" s="72"/>
      <c r="U38" s="72"/>
      <c r="V38" s="72"/>
      <c r="W38" s="72"/>
      <c r="X38" s="72"/>
      <c r="AH38" s="11">
        <v>-50</v>
      </c>
      <c r="AI38" s="13">
        <f t="shared" ref="AI38:AN38" si="107">IF(B38&gt;($A$38+1),1,0)</f>
        <v>0</v>
      </c>
      <c r="AJ38" s="13">
        <f t="shared" si="107"/>
        <v>0</v>
      </c>
      <c r="AK38" s="13">
        <f t="shared" si="107"/>
        <v>0</v>
      </c>
      <c r="AL38" s="13">
        <f t="shared" si="107"/>
        <v>0</v>
      </c>
      <c r="AM38" s="13">
        <f t="shared" si="107"/>
        <v>0</v>
      </c>
      <c r="AN38" s="13">
        <f t="shared" si="107"/>
        <v>0</v>
      </c>
      <c r="AO38" s="70">
        <f t="shared" si="103"/>
        <v>0</v>
      </c>
      <c r="AV38" s="68"/>
      <c r="AX38" s="11">
        <v>-50</v>
      </c>
      <c r="AY38" s="13">
        <f t="shared" ref="AY38:BD38" si="108">IF(B38&lt;($A$38-1),1,0)</f>
        <v>0</v>
      </c>
      <c r="AZ38" s="13">
        <f t="shared" si="108"/>
        <v>0</v>
      </c>
      <c r="BA38" s="13">
        <f t="shared" si="108"/>
        <v>0</v>
      </c>
      <c r="BB38" s="13">
        <f t="shared" si="108"/>
        <v>0</v>
      </c>
      <c r="BC38" s="13">
        <f t="shared" si="108"/>
        <v>0</v>
      </c>
      <c r="BD38" s="13">
        <f t="shared" si="108"/>
        <v>0</v>
      </c>
      <c r="BE38" s="70">
        <f t="shared" si="105"/>
        <v>0</v>
      </c>
      <c r="BL38" s="68"/>
      <c r="BP38" s="11">
        <v>-50</v>
      </c>
      <c r="BQ38" s="12">
        <f t="shared" ref="BQ38:BQ42" si="109">B38-$A38</f>
        <v>0.10000000000000142</v>
      </c>
      <c r="BR38" s="12">
        <f t="shared" si="106"/>
        <v>-0.10000000000000142</v>
      </c>
      <c r="BS38" s="12">
        <f t="shared" si="106"/>
        <v>0.10000000000000142</v>
      </c>
      <c r="BT38" s="12">
        <f t="shared" si="106"/>
        <v>0.10000000000000142</v>
      </c>
      <c r="BU38" s="12">
        <f t="shared" si="106"/>
        <v>-0.20000000000000284</v>
      </c>
      <c r="BV38" s="12">
        <f t="shared" si="106"/>
        <v>0.20000000000000284</v>
      </c>
    </row>
    <row r="39" spans="1:80" x14ac:dyDescent="0.2">
      <c r="A39" s="11">
        <v>0</v>
      </c>
      <c r="B39" s="72">
        <v>0</v>
      </c>
      <c r="C39" s="72">
        <v>-0.1</v>
      </c>
      <c r="D39" s="72">
        <v>0</v>
      </c>
      <c r="E39" s="72">
        <v>0.1</v>
      </c>
      <c r="F39" s="72">
        <v>-0.1</v>
      </c>
      <c r="G39" s="72">
        <v>0</v>
      </c>
      <c r="H39" s="71" t="str">
        <f t="shared" si="101"/>
        <v/>
      </c>
      <c r="R39" s="11">
        <v>0</v>
      </c>
      <c r="S39" s="72"/>
      <c r="T39" s="72"/>
      <c r="U39" s="72"/>
      <c r="V39" s="72"/>
      <c r="W39" s="72"/>
      <c r="X39" s="72"/>
      <c r="AH39" s="11">
        <v>0</v>
      </c>
      <c r="AI39" s="13">
        <f t="shared" ref="AI39:AN39" si="110">IF(B39&gt;($A$39+1),1,0)</f>
        <v>0</v>
      </c>
      <c r="AJ39" s="13">
        <f t="shared" si="110"/>
        <v>0</v>
      </c>
      <c r="AK39" s="13">
        <f t="shared" si="110"/>
        <v>0</v>
      </c>
      <c r="AL39" s="13">
        <f t="shared" si="110"/>
        <v>0</v>
      </c>
      <c r="AM39" s="13">
        <f t="shared" si="110"/>
        <v>0</v>
      </c>
      <c r="AN39" s="13">
        <f t="shared" si="110"/>
        <v>0</v>
      </c>
      <c r="AO39" s="70">
        <f t="shared" si="103"/>
        <v>0</v>
      </c>
      <c r="AV39" s="68"/>
      <c r="AX39" s="11">
        <v>0</v>
      </c>
      <c r="AY39" s="13">
        <f t="shared" ref="AY39:BD39" si="111">IF(B39&lt;($A$39-1),1,0)</f>
        <v>0</v>
      </c>
      <c r="AZ39" s="13">
        <f t="shared" si="111"/>
        <v>0</v>
      </c>
      <c r="BA39" s="13">
        <f t="shared" si="111"/>
        <v>0</v>
      </c>
      <c r="BB39" s="13">
        <f t="shared" si="111"/>
        <v>0</v>
      </c>
      <c r="BC39" s="13">
        <f t="shared" si="111"/>
        <v>0</v>
      </c>
      <c r="BD39" s="13">
        <f t="shared" si="111"/>
        <v>0</v>
      </c>
      <c r="BE39" s="70">
        <f t="shared" si="105"/>
        <v>0</v>
      </c>
      <c r="BL39" s="68"/>
      <c r="BP39" s="11">
        <v>0</v>
      </c>
      <c r="BQ39" s="12">
        <f t="shared" si="109"/>
        <v>0</v>
      </c>
      <c r="BR39" s="12">
        <f t="shared" si="106"/>
        <v>-0.1</v>
      </c>
      <c r="BS39" s="12">
        <f t="shared" si="106"/>
        <v>0</v>
      </c>
      <c r="BT39" s="12">
        <f t="shared" si="106"/>
        <v>0.1</v>
      </c>
      <c r="BU39" s="12">
        <f t="shared" si="106"/>
        <v>-0.1</v>
      </c>
      <c r="BV39" s="12">
        <f t="shared" si="106"/>
        <v>0</v>
      </c>
    </row>
    <row r="40" spans="1:80" x14ac:dyDescent="0.2">
      <c r="A40" s="11">
        <v>250</v>
      </c>
      <c r="B40" s="72">
        <v>250</v>
      </c>
      <c r="C40" s="72">
        <v>249.9</v>
      </c>
      <c r="D40" s="72">
        <v>250.1</v>
      </c>
      <c r="E40" s="72">
        <v>250.1</v>
      </c>
      <c r="F40" s="72">
        <v>249.9</v>
      </c>
      <c r="G40" s="72">
        <v>250.1</v>
      </c>
      <c r="H40" s="71" t="str">
        <f t="shared" si="101"/>
        <v/>
      </c>
      <c r="R40" s="11">
        <v>250</v>
      </c>
      <c r="S40" s="72"/>
      <c r="T40" s="72"/>
      <c r="U40" s="72"/>
      <c r="V40" s="72"/>
      <c r="W40" s="72"/>
      <c r="X40" s="72"/>
      <c r="AH40" s="11">
        <v>250</v>
      </c>
      <c r="AI40" s="13">
        <f t="shared" ref="AI40:AN40" si="112">IF(B40&gt;($A$40+1),1,0)</f>
        <v>0</v>
      </c>
      <c r="AJ40" s="13">
        <f t="shared" si="112"/>
        <v>0</v>
      </c>
      <c r="AK40" s="13">
        <f t="shared" si="112"/>
        <v>0</v>
      </c>
      <c r="AL40" s="13">
        <f t="shared" si="112"/>
        <v>0</v>
      </c>
      <c r="AM40" s="13">
        <f t="shared" si="112"/>
        <v>0</v>
      </c>
      <c r="AN40" s="13">
        <f t="shared" si="112"/>
        <v>0</v>
      </c>
      <c r="AO40" s="70">
        <f t="shared" si="103"/>
        <v>0</v>
      </c>
      <c r="AV40" s="68"/>
      <c r="AX40" s="11">
        <v>250</v>
      </c>
      <c r="AY40" s="13">
        <f t="shared" ref="AY40:BD40" si="113">IF(B40&lt;($A$40-1),1,0)</f>
        <v>0</v>
      </c>
      <c r="AZ40" s="13">
        <f t="shared" si="113"/>
        <v>0</v>
      </c>
      <c r="BA40" s="13">
        <f t="shared" si="113"/>
        <v>0</v>
      </c>
      <c r="BB40" s="13">
        <f t="shared" si="113"/>
        <v>0</v>
      </c>
      <c r="BC40" s="13">
        <f t="shared" si="113"/>
        <v>0</v>
      </c>
      <c r="BD40" s="13">
        <f t="shared" si="113"/>
        <v>0</v>
      </c>
      <c r="BE40" s="70">
        <f t="shared" si="105"/>
        <v>0</v>
      </c>
      <c r="BL40" s="68"/>
      <c r="BP40" s="11">
        <v>250</v>
      </c>
      <c r="BQ40" s="12">
        <f t="shared" si="109"/>
        <v>0</v>
      </c>
      <c r="BR40" s="12">
        <f t="shared" si="106"/>
        <v>-9.9999999999994316E-2</v>
      </c>
      <c r="BS40" s="12">
        <f t="shared" si="106"/>
        <v>9.9999999999994316E-2</v>
      </c>
      <c r="BT40" s="12">
        <f t="shared" si="106"/>
        <v>9.9999999999994316E-2</v>
      </c>
      <c r="BU40" s="12">
        <f t="shared" si="106"/>
        <v>-9.9999999999994316E-2</v>
      </c>
      <c r="BV40" s="12">
        <f t="shared" si="106"/>
        <v>9.9999999999994316E-2</v>
      </c>
    </row>
    <row r="41" spans="1:80" x14ac:dyDescent="0.2">
      <c r="A41" s="11">
        <v>500</v>
      </c>
      <c r="B41" s="72">
        <v>499.9</v>
      </c>
      <c r="C41" s="72">
        <v>499.8</v>
      </c>
      <c r="D41" s="72">
        <v>500.1</v>
      </c>
      <c r="E41" s="72">
        <v>500.1</v>
      </c>
      <c r="F41" s="72">
        <v>499.9</v>
      </c>
      <c r="G41" s="72">
        <v>499.9</v>
      </c>
      <c r="H41" s="71" t="str">
        <f t="shared" si="101"/>
        <v/>
      </c>
      <c r="R41" s="11">
        <v>500</v>
      </c>
      <c r="S41" s="72"/>
      <c r="T41" s="72"/>
      <c r="U41" s="72"/>
      <c r="V41" s="72"/>
      <c r="W41" s="72"/>
      <c r="X41" s="72"/>
      <c r="AH41" s="11">
        <v>500</v>
      </c>
      <c r="AI41" s="13">
        <f t="shared" ref="AI41:AN41" si="114">IF(B41&gt;($A$41+1),1,0)</f>
        <v>0</v>
      </c>
      <c r="AJ41" s="13">
        <f t="shared" si="114"/>
        <v>0</v>
      </c>
      <c r="AK41" s="13">
        <f t="shared" si="114"/>
        <v>0</v>
      </c>
      <c r="AL41" s="13">
        <f t="shared" si="114"/>
        <v>0</v>
      </c>
      <c r="AM41" s="13">
        <f t="shared" si="114"/>
        <v>0</v>
      </c>
      <c r="AN41" s="13">
        <f t="shared" si="114"/>
        <v>0</v>
      </c>
      <c r="AO41" s="70">
        <f t="shared" si="103"/>
        <v>0</v>
      </c>
      <c r="AV41" s="68"/>
      <c r="AX41" s="11">
        <v>500</v>
      </c>
      <c r="AY41" s="13">
        <f t="shared" ref="AY41:BD41" si="115">IF(B41&lt;($A$41-1),1,0)</f>
        <v>0</v>
      </c>
      <c r="AZ41" s="13">
        <f t="shared" si="115"/>
        <v>0</v>
      </c>
      <c r="BA41" s="13">
        <f t="shared" si="115"/>
        <v>0</v>
      </c>
      <c r="BB41" s="13">
        <f t="shared" si="115"/>
        <v>0</v>
      </c>
      <c r="BC41" s="13">
        <f t="shared" si="115"/>
        <v>0</v>
      </c>
      <c r="BD41" s="13">
        <f t="shared" si="115"/>
        <v>0</v>
      </c>
      <c r="BE41" s="70">
        <f t="shared" si="105"/>
        <v>0</v>
      </c>
      <c r="BL41" s="68"/>
      <c r="BP41" s="11">
        <v>500</v>
      </c>
      <c r="BQ41" s="12">
        <f t="shared" si="109"/>
        <v>-0.10000000000002274</v>
      </c>
      <c r="BR41" s="12">
        <f t="shared" si="106"/>
        <v>-0.19999999999998863</v>
      </c>
      <c r="BS41" s="12">
        <f t="shared" si="106"/>
        <v>0.10000000000002274</v>
      </c>
      <c r="BT41" s="12">
        <f t="shared" si="106"/>
        <v>0.10000000000002274</v>
      </c>
      <c r="BU41" s="12">
        <f t="shared" si="106"/>
        <v>-0.10000000000002274</v>
      </c>
      <c r="BV41" s="12">
        <f t="shared" si="106"/>
        <v>-0.10000000000002274</v>
      </c>
    </row>
    <row r="42" spans="1:80" x14ac:dyDescent="0.2">
      <c r="A42" s="11">
        <v>1000</v>
      </c>
      <c r="B42" s="72">
        <v>1000</v>
      </c>
      <c r="C42" s="72">
        <v>999.7</v>
      </c>
      <c r="D42" s="72">
        <v>1000.2</v>
      </c>
      <c r="E42" s="72">
        <v>1000.1</v>
      </c>
      <c r="F42" s="72">
        <v>999.9</v>
      </c>
      <c r="G42" s="72">
        <v>999.8</v>
      </c>
      <c r="H42" s="71" t="str">
        <f t="shared" si="101"/>
        <v/>
      </c>
      <c r="R42" s="11">
        <v>1000</v>
      </c>
      <c r="S42" s="72"/>
      <c r="T42" s="72"/>
      <c r="U42" s="72"/>
      <c r="V42" s="72"/>
      <c r="W42" s="72"/>
      <c r="X42" s="72"/>
      <c r="AH42" s="11">
        <v>1000</v>
      </c>
      <c r="AI42" s="13">
        <f t="shared" ref="AI42:AN42" si="116">IF(B42&gt;($A$42+1),1,0)</f>
        <v>0</v>
      </c>
      <c r="AJ42" s="13">
        <f t="shared" si="116"/>
        <v>0</v>
      </c>
      <c r="AK42" s="13">
        <f t="shared" si="116"/>
        <v>0</v>
      </c>
      <c r="AL42" s="13">
        <f t="shared" si="116"/>
        <v>0</v>
      </c>
      <c r="AM42" s="13">
        <f t="shared" si="116"/>
        <v>0</v>
      </c>
      <c r="AN42" s="13">
        <f t="shared" si="116"/>
        <v>0</v>
      </c>
      <c r="AO42" s="70">
        <f t="shared" si="103"/>
        <v>0</v>
      </c>
      <c r="AP42" s="61"/>
      <c r="AQ42" s="61"/>
      <c r="AR42" s="61"/>
      <c r="AS42" s="61"/>
      <c r="AT42" s="61"/>
      <c r="AU42" s="61"/>
      <c r="AV42" s="62"/>
      <c r="AX42" s="11">
        <v>1000</v>
      </c>
      <c r="AY42" s="13">
        <f t="shared" ref="AY42:BD42" si="117">IF(B42&lt;($A$42-1),1,0)</f>
        <v>0</v>
      </c>
      <c r="AZ42" s="13">
        <f t="shared" si="117"/>
        <v>0</v>
      </c>
      <c r="BA42" s="13">
        <f t="shared" si="117"/>
        <v>0</v>
      </c>
      <c r="BB42" s="13">
        <f t="shared" si="117"/>
        <v>0</v>
      </c>
      <c r="BC42" s="13">
        <f t="shared" si="117"/>
        <v>0</v>
      </c>
      <c r="BD42" s="13">
        <f t="shared" si="117"/>
        <v>0</v>
      </c>
      <c r="BE42" s="70">
        <f t="shared" si="105"/>
        <v>0</v>
      </c>
      <c r="BF42" s="61"/>
      <c r="BG42" s="61"/>
      <c r="BH42" s="61"/>
      <c r="BI42" s="61"/>
      <c r="BJ42" s="61"/>
      <c r="BK42" s="61"/>
      <c r="BL42" s="62"/>
      <c r="BP42" s="11">
        <v>1000</v>
      </c>
      <c r="BQ42" s="12">
        <f t="shared" si="109"/>
        <v>0</v>
      </c>
      <c r="BR42" s="12">
        <f t="shared" si="106"/>
        <v>-0.29999999999995453</v>
      </c>
      <c r="BS42" s="12">
        <f t="shared" si="106"/>
        <v>0.20000000000004547</v>
      </c>
      <c r="BT42" s="12">
        <f t="shared" si="106"/>
        <v>0.10000000000002274</v>
      </c>
      <c r="BU42" s="12">
        <f t="shared" si="106"/>
        <v>-0.10000000000002274</v>
      </c>
      <c r="BV42" s="12">
        <f t="shared" si="106"/>
        <v>-0.20000000000004547</v>
      </c>
    </row>
    <row r="43" spans="1:80" x14ac:dyDescent="0.2">
      <c r="A43" s="11"/>
      <c r="B43" s="13"/>
      <c r="C43" s="13"/>
      <c r="D43" s="13"/>
      <c r="E43" s="13"/>
      <c r="F43" s="13"/>
      <c r="G43" s="13"/>
      <c r="R43" s="11"/>
      <c r="S43" s="13"/>
      <c r="T43" s="13"/>
      <c r="U43" s="13"/>
      <c r="V43" s="13"/>
      <c r="W43" s="13"/>
      <c r="X43" s="13"/>
    </row>
    <row r="45" spans="1:80" x14ac:dyDescent="0.2">
      <c r="A45" t="s">
        <v>0</v>
      </c>
      <c r="B45" s="2" t="s">
        <v>16</v>
      </c>
      <c r="C45" s="2" t="s">
        <v>16</v>
      </c>
      <c r="D45" s="2" t="s">
        <v>16</v>
      </c>
      <c r="E45" s="2" t="s">
        <v>16</v>
      </c>
      <c r="F45" s="2" t="s">
        <v>16</v>
      </c>
      <c r="G45" s="2" t="s">
        <v>16</v>
      </c>
      <c r="H45" s="1" t="s">
        <v>1</v>
      </c>
    </row>
    <row r="46" spans="1:80" x14ac:dyDescent="0.2">
      <c r="A46" s="3"/>
      <c r="B46" t="s">
        <v>17</v>
      </c>
      <c r="C46" t="s">
        <v>18</v>
      </c>
      <c r="D46" t="s">
        <v>19</v>
      </c>
      <c r="E46" t="s">
        <v>20</v>
      </c>
      <c r="F46" t="s">
        <v>21</v>
      </c>
      <c r="G46" s="7" t="s">
        <v>22</v>
      </c>
      <c r="H46" t="s">
        <v>2</v>
      </c>
    </row>
    <row r="47" spans="1:80" x14ac:dyDescent="0.2">
      <c r="A47" s="17">
        <v>-100</v>
      </c>
      <c r="B47" s="16">
        <f t="shared" ref="B47:G52" si="118">B13</f>
        <v>-99.8</v>
      </c>
      <c r="C47" s="16">
        <f t="shared" si="118"/>
        <v>-99.9</v>
      </c>
      <c r="D47" s="16">
        <f t="shared" si="118"/>
        <v>-99.8</v>
      </c>
      <c r="E47" s="16">
        <f t="shared" si="118"/>
        <v>-99.9</v>
      </c>
      <c r="F47" s="16">
        <f t="shared" si="118"/>
        <v>-100</v>
      </c>
      <c r="G47" s="16">
        <f t="shared" si="118"/>
        <v>-99.9</v>
      </c>
    </row>
    <row r="48" spans="1:80" x14ac:dyDescent="0.2">
      <c r="A48" s="17">
        <v>-50</v>
      </c>
      <c r="B48" s="16">
        <f t="shared" si="118"/>
        <v>-49.8</v>
      </c>
      <c r="C48" s="16">
        <f t="shared" si="118"/>
        <v>-49.9</v>
      </c>
      <c r="D48" s="16">
        <f t="shared" si="118"/>
        <v>-49.8</v>
      </c>
      <c r="E48" s="16">
        <f t="shared" si="118"/>
        <v>-49.9</v>
      </c>
      <c r="F48" s="16">
        <f t="shared" si="118"/>
        <v>-50</v>
      </c>
      <c r="G48" s="16">
        <f t="shared" si="118"/>
        <v>-49.9</v>
      </c>
    </row>
    <row r="49" spans="1:8" x14ac:dyDescent="0.2">
      <c r="A49" s="17">
        <v>0</v>
      </c>
      <c r="B49" s="16">
        <f t="shared" si="118"/>
        <v>-0.1</v>
      </c>
      <c r="C49" s="16">
        <f t="shared" si="118"/>
        <v>0</v>
      </c>
      <c r="D49" s="16">
        <f t="shared" si="118"/>
        <v>-0.2</v>
      </c>
      <c r="E49" s="16">
        <f t="shared" si="118"/>
        <v>0</v>
      </c>
      <c r="F49" s="16">
        <f t="shared" si="118"/>
        <v>0</v>
      </c>
      <c r="G49" s="16">
        <f t="shared" si="118"/>
        <v>0</v>
      </c>
    </row>
    <row r="50" spans="1:8" x14ac:dyDescent="0.2">
      <c r="A50" s="17">
        <v>250</v>
      </c>
      <c r="B50" s="16">
        <f t="shared" si="118"/>
        <v>249.8</v>
      </c>
      <c r="C50" s="16">
        <f t="shared" si="118"/>
        <v>249.9</v>
      </c>
      <c r="D50" s="16">
        <f t="shared" si="118"/>
        <v>249.9</v>
      </c>
      <c r="E50" s="16">
        <f t="shared" si="118"/>
        <v>250</v>
      </c>
      <c r="F50" s="16">
        <f t="shared" si="118"/>
        <v>249.9</v>
      </c>
      <c r="G50" s="16">
        <f t="shared" si="118"/>
        <v>250</v>
      </c>
    </row>
    <row r="51" spans="1:8" x14ac:dyDescent="0.2">
      <c r="A51" s="17">
        <v>500</v>
      </c>
      <c r="B51" s="16">
        <f t="shared" si="118"/>
        <v>499.8</v>
      </c>
      <c r="C51" s="16">
        <f t="shared" si="118"/>
        <v>499.9</v>
      </c>
      <c r="D51" s="16">
        <f t="shared" si="118"/>
        <v>499.9</v>
      </c>
      <c r="E51" s="16">
        <f t="shared" si="118"/>
        <v>499.9</v>
      </c>
      <c r="F51" s="16">
        <f t="shared" si="118"/>
        <v>499.9</v>
      </c>
      <c r="G51" s="16">
        <f t="shared" si="118"/>
        <v>499.9</v>
      </c>
    </row>
    <row r="52" spans="1:8" x14ac:dyDescent="0.2">
      <c r="A52" s="17">
        <v>1000</v>
      </c>
      <c r="B52" s="16">
        <f t="shared" si="118"/>
        <v>999.9</v>
      </c>
      <c r="C52" s="16">
        <f t="shared" si="118"/>
        <v>999.8</v>
      </c>
      <c r="D52" s="16">
        <f t="shared" si="118"/>
        <v>999.9</v>
      </c>
      <c r="E52" s="16">
        <f t="shared" si="118"/>
        <v>999.9</v>
      </c>
      <c r="F52" s="16">
        <f t="shared" si="118"/>
        <v>999.8</v>
      </c>
      <c r="G52" s="16">
        <f t="shared" si="118"/>
        <v>999.9</v>
      </c>
    </row>
    <row r="53" spans="1:8" x14ac:dyDescent="0.2">
      <c r="A53" s="6"/>
      <c r="G53" s="7"/>
    </row>
    <row r="54" spans="1:8" x14ac:dyDescent="0.2">
      <c r="A54" s="6"/>
      <c r="B54" t="s">
        <v>23</v>
      </c>
      <c r="C54" t="s">
        <v>24</v>
      </c>
      <c r="D54" t="s">
        <v>25</v>
      </c>
      <c r="E54" t="s">
        <v>26</v>
      </c>
      <c r="F54" t="s">
        <v>27</v>
      </c>
      <c r="G54" s="7" t="s">
        <v>28</v>
      </c>
    </row>
    <row r="55" spans="1:8" x14ac:dyDescent="0.2">
      <c r="A55" s="17">
        <v>-100</v>
      </c>
      <c r="B55" s="16">
        <f t="shared" ref="B55:G60" si="119">B21</f>
        <v>-99.9</v>
      </c>
      <c r="C55" s="16">
        <f t="shared" si="119"/>
        <v>-100</v>
      </c>
      <c r="D55" s="16">
        <f t="shared" si="119"/>
        <v>-99.7</v>
      </c>
      <c r="E55" s="16">
        <f t="shared" si="119"/>
        <v>-100.1</v>
      </c>
      <c r="F55" s="16">
        <f t="shared" si="119"/>
        <v>-99.8</v>
      </c>
      <c r="G55" s="16">
        <f t="shared" si="119"/>
        <v>-100.1</v>
      </c>
    </row>
    <row r="56" spans="1:8" x14ac:dyDescent="0.2">
      <c r="A56" s="17">
        <v>-50</v>
      </c>
      <c r="B56" s="16">
        <f t="shared" si="119"/>
        <v>-50</v>
      </c>
      <c r="C56" s="16">
        <f t="shared" si="119"/>
        <v>-50</v>
      </c>
      <c r="D56" s="16">
        <f t="shared" si="119"/>
        <v>-49.7</v>
      </c>
      <c r="E56" s="16">
        <f t="shared" si="119"/>
        <v>-50.1</v>
      </c>
      <c r="F56" s="16">
        <f t="shared" si="119"/>
        <v>-49.8</v>
      </c>
      <c r="G56" s="16">
        <f t="shared" si="119"/>
        <v>-50.1</v>
      </c>
    </row>
    <row r="57" spans="1:8" x14ac:dyDescent="0.2">
      <c r="A57" s="17">
        <v>0</v>
      </c>
      <c r="B57" s="16">
        <f t="shared" si="119"/>
        <v>0</v>
      </c>
      <c r="C57" s="16">
        <f t="shared" si="119"/>
        <v>0.1</v>
      </c>
      <c r="D57" s="16">
        <f t="shared" si="119"/>
        <v>-0.3</v>
      </c>
      <c r="E57" s="16">
        <f t="shared" si="119"/>
        <v>0.1</v>
      </c>
      <c r="F57" s="16">
        <f t="shared" si="119"/>
        <v>-0.2</v>
      </c>
      <c r="G57" s="16">
        <f t="shared" si="119"/>
        <v>-0.1</v>
      </c>
    </row>
    <row r="58" spans="1:8" x14ac:dyDescent="0.2">
      <c r="A58" s="17">
        <v>250</v>
      </c>
      <c r="B58" s="16">
        <f t="shared" si="119"/>
        <v>249.9</v>
      </c>
      <c r="C58" s="16">
        <f t="shared" si="119"/>
        <v>249.9</v>
      </c>
      <c r="D58" s="16">
        <f t="shared" si="119"/>
        <v>249.8</v>
      </c>
      <c r="E58" s="16">
        <f t="shared" si="119"/>
        <v>249.9</v>
      </c>
      <c r="F58" s="16">
        <f t="shared" si="119"/>
        <v>249.9</v>
      </c>
      <c r="G58" s="16">
        <f t="shared" si="119"/>
        <v>249.8</v>
      </c>
    </row>
    <row r="59" spans="1:8" x14ac:dyDescent="0.2">
      <c r="A59" s="17">
        <v>500</v>
      </c>
      <c r="B59" s="16">
        <f t="shared" si="119"/>
        <v>499.8</v>
      </c>
      <c r="C59" s="16">
        <f t="shared" si="119"/>
        <v>499.8</v>
      </c>
      <c r="D59" s="16">
        <f t="shared" si="119"/>
        <v>499.8</v>
      </c>
      <c r="E59" s="16">
        <f t="shared" si="119"/>
        <v>499.8</v>
      </c>
      <c r="F59" s="16">
        <f t="shared" si="119"/>
        <v>499.9</v>
      </c>
      <c r="G59" s="16">
        <f t="shared" si="119"/>
        <v>499.8</v>
      </c>
    </row>
    <row r="60" spans="1:8" x14ac:dyDescent="0.2">
      <c r="A60" s="17">
        <v>1000</v>
      </c>
      <c r="B60" s="16">
        <f t="shared" si="119"/>
        <v>999.6</v>
      </c>
      <c r="C60" s="16">
        <f t="shared" si="119"/>
        <v>999.8</v>
      </c>
      <c r="D60" s="16">
        <f t="shared" si="119"/>
        <v>999.9</v>
      </c>
      <c r="E60" s="16">
        <f t="shared" si="119"/>
        <v>999.7</v>
      </c>
      <c r="F60" s="16">
        <f t="shared" si="119"/>
        <v>999.8</v>
      </c>
      <c r="G60" s="16">
        <f t="shared" si="119"/>
        <v>999.8</v>
      </c>
    </row>
    <row r="61" spans="1:8" x14ac:dyDescent="0.2">
      <c r="A61" s="17"/>
      <c r="B61" s="16"/>
      <c r="C61" s="16"/>
      <c r="D61" s="16"/>
      <c r="E61" s="16"/>
      <c r="F61" s="16"/>
      <c r="G61" s="16"/>
    </row>
    <row r="62" spans="1:8" x14ac:dyDescent="0.2">
      <c r="A62" s="17"/>
      <c r="B62" s="16"/>
      <c r="C62" s="16"/>
      <c r="D62" s="16"/>
      <c r="E62" s="16"/>
      <c r="F62" s="16"/>
      <c r="G62" s="16"/>
    </row>
    <row r="63" spans="1:8" x14ac:dyDescent="0.2">
      <c r="A63" s="6"/>
      <c r="G63" s="7"/>
    </row>
    <row r="64" spans="1:8" x14ac:dyDescent="0.2">
      <c r="A64" s="3"/>
      <c r="B64" s="4" t="s">
        <v>29</v>
      </c>
      <c r="C64" s="4" t="s">
        <v>30</v>
      </c>
      <c r="D64" s="4" t="s">
        <v>31</v>
      </c>
      <c r="E64" s="4" t="s">
        <v>32</v>
      </c>
      <c r="F64" s="4" t="s">
        <v>33</v>
      </c>
      <c r="G64" s="5" t="s">
        <v>34</v>
      </c>
      <c r="H64" t="s">
        <v>3</v>
      </c>
    </row>
    <row r="65" spans="1:7" x14ac:dyDescent="0.2">
      <c r="A65" s="17">
        <v>-100</v>
      </c>
      <c r="B65" s="16">
        <f t="shared" ref="B65:G70" si="120">B29</f>
        <v>-100</v>
      </c>
      <c r="C65" s="16">
        <f t="shared" si="120"/>
        <v>-100.1</v>
      </c>
      <c r="D65" s="16">
        <f t="shared" si="120"/>
        <v>-100.1</v>
      </c>
      <c r="E65" s="16">
        <f t="shared" si="120"/>
        <v>-100</v>
      </c>
      <c r="F65" s="16">
        <f t="shared" si="120"/>
        <v>-100.2</v>
      </c>
      <c r="G65" s="16">
        <f t="shared" si="120"/>
        <v>-99.8</v>
      </c>
    </row>
    <row r="66" spans="1:7" x14ac:dyDescent="0.2">
      <c r="A66" s="17">
        <v>-50</v>
      </c>
      <c r="B66" s="16">
        <f t="shared" si="120"/>
        <v>-50.1</v>
      </c>
      <c r="C66" s="16">
        <f t="shared" si="120"/>
        <v>-50.1</v>
      </c>
      <c r="D66" s="16">
        <f t="shared" si="120"/>
        <v>-50.1</v>
      </c>
      <c r="E66" s="16">
        <f t="shared" si="120"/>
        <v>-49.9</v>
      </c>
      <c r="F66" s="16">
        <f t="shared" si="120"/>
        <v>-49.9</v>
      </c>
      <c r="G66" s="16">
        <f t="shared" si="120"/>
        <v>-49.9</v>
      </c>
    </row>
    <row r="67" spans="1:7" x14ac:dyDescent="0.2">
      <c r="A67" s="17">
        <v>0</v>
      </c>
      <c r="B67" s="16">
        <f t="shared" si="120"/>
        <v>0.1</v>
      </c>
      <c r="C67" s="16">
        <f t="shared" si="120"/>
        <v>-0.2</v>
      </c>
      <c r="D67" s="16">
        <f t="shared" si="120"/>
        <v>-0.2</v>
      </c>
      <c r="E67" s="16">
        <f t="shared" si="120"/>
        <v>0.1</v>
      </c>
      <c r="F67" s="16">
        <f t="shared" si="120"/>
        <v>-0.1</v>
      </c>
      <c r="G67" s="16">
        <f t="shared" si="120"/>
        <v>0.1</v>
      </c>
    </row>
    <row r="68" spans="1:7" x14ac:dyDescent="0.2">
      <c r="A68" s="17">
        <v>250</v>
      </c>
      <c r="B68" s="16">
        <f t="shared" si="120"/>
        <v>250.1</v>
      </c>
      <c r="C68" s="16">
        <f t="shared" si="120"/>
        <v>249.8</v>
      </c>
      <c r="D68" s="16">
        <f t="shared" si="120"/>
        <v>249.8</v>
      </c>
      <c r="E68" s="16">
        <f t="shared" si="120"/>
        <v>250.2</v>
      </c>
      <c r="F68" s="16">
        <f t="shared" si="120"/>
        <v>250</v>
      </c>
      <c r="G68" s="16">
        <f t="shared" si="120"/>
        <v>250.1</v>
      </c>
    </row>
    <row r="69" spans="1:7" x14ac:dyDescent="0.2">
      <c r="A69" s="17">
        <v>500</v>
      </c>
      <c r="B69" s="16">
        <f t="shared" si="120"/>
        <v>500.1</v>
      </c>
      <c r="C69" s="16">
        <f t="shared" si="120"/>
        <v>499.8</v>
      </c>
      <c r="D69" s="16">
        <f t="shared" si="120"/>
        <v>499.7</v>
      </c>
      <c r="E69" s="16">
        <f t="shared" si="120"/>
        <v>500.1</v>
      </c>
      <c r="F69" s="16">
        <f t="shared" si="120"/>
        <v>500</v>
      </c>
      <c r="G69" s="16">
        <f t="shared" si="120"/>
        <v>500.1</v>
      </c>
    </row>
    <row r="70" spans="1:7" x14ac:dyDescent="0.2">
      <c r="A70" s="17">
        <v>1000</v>
      </c>
      <c r="B70" s="16">
        <f t="shared" si="120"/>
        <v>1000.1</v>
      </c>
      <c r="C70" s="16">
        <f t="shared" si="120"/>
        <v>999.8</v>
      </c>
      <c r="D70" s="16">
        <f t="shared" si="120"/>
        <v>999.7</v>
      </c>
      <c r="E70" s="16">
        <f t="shared" si="120"/>
        <v>1000.1</v>
      </c>
      <c r="F70" s="16">
        <f t="shared" si="120"/>
        <v>1000</v>
      </c>
      <c r="G70" s="16">
        <f t="shared" si="120"/>
        <v>1000.1</v>
      </c>
    </row>
    <row r="71" spans="1:7" x14ac:dyDescent="0.2">
      <c r="A71" s="6"/>
      <c r="G71" s="7"/>
    </row>
    <row r="72" spans="1:7" x14ac:dyDescent="0.2">
      <c r="A72" s="6"/>
      <c r="B72" t="s">
        <v>35</v>
      </c>
      <c r="C72" t="s">
        <v>36</v>
      </c>
      <c r="D72" t="s">
        <v>37</v>
      </c>
      <c r="E72" t="s">
        <v>38</v>
      </c>
      <c r="F72" t="s">
        <v>39</v>
      </c>
      <c r="G72" s="7" t="s">
        <v>40</v>
      </c>
    </row>
    <row r="73" spans="1:7" x14ac:dyDescent="0.2">
      <c r="A73" s="17">
        <v>-100</v>
      </c>
      <c r="B73" s="16">
        <f t="shared" ref="B73:G78" si="121">B37</f>
        <v>-100.1</v>
      </c>
      <c r="C73" s="16">
        <f t="shared" si="121"/>
        <v>-100.1</v>
      </c>
      <c r="D73" s="16">
        <f t="shared" si="121"/>
        <v>-100.1</v>
      </c>
      <c r="E73" s="16">
        <f t="shared" si="121"/>
        <v>-100</v>
      </c>
      <c r="F73" s="16">
        <f t="shared" si="121"/>
        <v>-100.2</v>
      </c>
      <c r="G73" s="16">
        <f t="shared" si="121"/>
        <v>-99.8</v>
      </c>
    </row>
    <row r="74" spans="1:7" x14ac:dyDescent="0.2">
      <c r="A74" s="17">
        <v>-50</v>
      </c>
      <c r="B74" s="16">
        <f t="shared" si="121"/>
        <v>-49.9</v>
      </c>
      <c r="C74" s="16">
        <f t="shared" si="121"/>
        <v>-50.1</v>
      </c>
      <c r="D74" s="16">
        <f t="shared" si="121"/>
        <v>-49.9</v>
      </c>
      <c r="E74" s="16">
        <f t="shared" si="121"/>
        <v>-49.9</v>
      </c>
      <c r="F74" s="16">
        <f t="shared" si="121"/>
        <v>-50.2</v>
      </c>
      <c r="G74" s="16">
        <f t="shared" si="121"/>
        <v>-49.8</v>
      </c>
    </row>
    <row r="75" spans="1:7" x14ac:dyDescent="0.2">
      <c r="A75" s="17">
        <v>0</v>
      </c>
      <c r="B75" s="16">
        <f t="shared" si="121"/>
        <v>0</v>
      </c>
      <c r="C75" s="16">
        <f t="shared" si="121"/>
        <v>-0.1</v>
      </c>
      <c r="D75" s="16">
        <f t="shared" si="121"/>
        <v>0</v>
      </c>
      <c r="E75" s="16">
        <f t="shared" si="121"/>
        <v>0.1</v>
      </c>
      <c r="F75" s="16">
        <f t="shared" si="121"/>
        <v>-0.1</v>
      </c>
      <c r="G75" s="16">
        <f t="shared" si="121"/>
        <v>0</v>
      </c>
    </row>
    <row r="76" spans="1:7" x14ac:dyDescent="0.2">
      <c r="A76" s="17">
        <v>250</v>
      </c>
      <c r="B76" s="16">
        <f t="shared" si="121"/>
        <v>250</v>
      </c>
      <c r="C76" s="16">
        <f t="shared" si="121"/>
        <v>249.9</v>
      </c>
      <c r="D76" s="16">
        <f t="shared" si="121"/>
        <v>250.1</v>
      </c>
      <c r="E76" s="16">
        <f t="shared" si="121"/>
        <v>250.1</v>
      </c>
      <c r="F76" s="16">
        <f t="shared" si="121"/>
        <v>249.9</v>
      </c>
      <c r="G76" s="16">
        <f t="shared" si="121"/>
        <v>250.1</v>
      </c>
    </row>
    <row r="77" spans="1:7" x14ac:dyDescent="0.2">
      <c r="A77" s="17">
        <v>500</v>
      </c>
      <c r="B77" s="16">
        <f t="shared" si="121"/>
        <v>499.9</v>
      </c>
      <c r="C77" s="16">
        <f t="shared" si="121"/>
        <v>499.8</v>
      </c>
      <c r="D77" s="16">
        <f t="shared" si="121"/>
        <v>500.1</v>
      </c>
      <c r="E77" s="16">
        <f t="shared" si="121"/>
        <v>500.1</v>
      </c>
      <c r="F77" s="16">
        <f t="shared" si="121"/>
        <v>499.9</v>
      </c>
      <c r="G77" s="16">
        <f t="shared" si="121"/>
        <v>499.9</v>
      </c>
    </row>
    <row r="78" spans="1:7" x14ac:dyDescent="0.2">
      <c r="A78" s="17">
        <v>1000</v>
      </c>
      <c r="B78" s="16">
        <f t="shared" si="121"/>
        <v>1000</v>
      </c>
      <c r="C78" s="16">
        <f t="shared" si="121"/>
        <v>999.7</v>
      </c>
      <c r="D78" s="16">
        <f t="shared" si="121"/>
        <v>1000.2</v>
      </c>
      <c r="E78" s="16">
        <f t="shared" si="121"/>
        <v>1000.1</v>
      </c>
      <c r="F78" s="16">
        <f t="shared" si="121"/>
        <v>999.9</v>
      </c>
      <c r="G78" s="16">
        <f t="shared" si="121"/>
        <v>999.8</v>
      </c>
    </row>
    <row r="79" spans="1:7" x14ac:dyDescent="0.2">
      <c r="A79" s="17"/>
      <c r="B79" s="16"/>
      <c r="C79" s="16"/>
      <c r="D79" s="16"/>
      <c r="E79" s="16"/>
      <c r="F79" s="16"/>
      <c r="G79" s="16"/>
    </row>
    <row r="80" spans="1:7" x14ac:dyDescent="0.2">
      <c r="A80" s="17"/>
      <c r="B80" s="16"/>
      <c r="C80" s="16"/>
      <c r="D80" s="16"/>
      <c r="E80" s="16"/>
      <c r="F80" s="16"/>
      <c r="G80" s="16"/>
    </row>
    <row r="81" spans="1:8" x14ac:dyDescent="0.2">
      <c r="A81" s="6"/>
      <c r="G81" s="7"/>
    </row>
    <row r="82" spans="1:8" x14ac:dyDescent="0.2">
      <c r="A82" s="3"/>
      <c r="B82" s="4" t="s">
        <v>41</v>
      </c>
      <c r="C82" s="4" t="s">
        <v>42</v>
      </c>
      <c r="D82" s="4" t="s">
        <v>43</v>
      </c>
      <c r="E82" s="4" t="s">
        <v>44</v>
      </c>
      <c r="F82" s="4" t="s">
        <v>45</v>
      </c>
      <c r="G82" s="5" t="s">
        <v>46</v>
      </c>
      <c r="H82" t="s">
        <v>4</v>
      </c>
    </row>
    <row r="83" spans="1:8" x14ac:dyDescent="0.2">
      <c r="A83" s="17">
        <v>-100</v>
      </c>
      <c r="B83" s="16">
        <f t="shared" ref="B83:G88" si="122">J13</f>
        <v>-99.9</v>
      </c>
      <c r="C83" s="16">
        <f t="shared" si="122"/>
        <v>-100</v>
      </c>
      <c r="D83" s="16">
        <f t="shared" si="122"/>
        <v>-100.2</v>
      </c>
      <c r="E83" s="16">
        <f t="shared" si="122"/>
        <v>-100.1</v>
      </c>
      <c r="F83" s="16">
        <f t="shared" si="122"/>
        <v>-100.2</v>
      </c>
      <c r="G83" s="16">
        <f t="shared" si="122"/>
        <v>-100.2</v>
      </c>
    </row>
    <row r="84" spans="1:8" x14ac:dyDescent="0.2">
      <c r="A84" s="17">
        <v>-50</v>
      </c>
      <c r="B84" s="16">
        <f t="shared" si="122"/>
        <v>-49.9</v>
      </c>
      <c r="C84" s="16">
        <f t="shared" si="122"/>
        <v>-49.8</v>
      </c>
      <c r="D84" s="16">
        <f t="shared" si="122"/>
        <v>-50.1</v>
      </c>
      <c r="E84" s="16">
        <f t="shared" si="122"/>
        <v>-50.1</v>
      </c>
      <c r="F84" s="16">
        <f t="shared" si="122"/>
        <v>-50.1</v>
      </c>
      <c r="G84" s="16">
        <f t="shared" si="122"/>
        <v>-50</v>
      </c>
    </row>
    <row r="85" spans="1:8" x14ac:dyDescent="0.2">
      <c r="A85" s="17">
        <v>0</v>
      </c>
      <c r="B85" s="16">
        <f t="shared" si="122"/>
        <v>0</v>
      </c>
      <c r="C85" s="16">
        <f t="shared" si="122"/>
        <v>0.1</v>
      </c>
      <c r="D85" s="16">
        <f t="shared" si="122"/>
        <v>-0.1</v>
      </c>
      <c r="E85" s="16">
        <f t="shared" si="122"/>
        <v>0</v>
      </c>
      <c r="F85" s="16">
        <f t="shared" si="122"/>
        <v>0.1</v>
      </c>
      <c r="G85" s="16">
        <f t="shared" si="122"/>
        <v>0.1</v>
      </c>
    </row>
    <row r="86" spans="1:8" x14ac:dyDescent="0.2">
      <c r="A86" s="17">
        <v>250</v>
      </c>
      <c r="B86" s="16">
        <f t="shared" si="122"/>
        <v>250.1</v>
      </c>
      <c r="C86" s="16">
        <f t="shared" si="122"/>
        <v>250.1</v>
      </c>
      <c r="D86" s="16">
        <f t="shared" si="122"/>
        <v>250.2</v>
      </c>
      <c r="E86" s="16">
        <f t="shared" si="122"/>
        <v>250.1</v>
      </c>
      <c r="F86" s="16">
        <f t="shared" si="122"/>
        <v>249.8</v>
      </c>
      <c r="G86" s="16">
        <f t="shared" si="122"/>
        <v>249.9</v>
      </c>
    </row>
    <row r="87" spans="1:8" x14ac:dyDescent="0.2">
      <c r="A87" s="17">
        <v>500</v>
      </c>
      <c r="B87" s="16">
        <f t="shared" si="122"/>
        <v>500.1</v>
      </c>
      <c r="C87" s="16">
        <f t="shared" si="122"/>
        <v>500.1</v>
      </c>
      <c r="D87" s="16">
        <f t="shared" si="122"/>
        <v>500.2</v>
      </c>
      <c r="E87" s="16">
        <f t="shared" si="122"/>
        <v>500.1</v>
      </c>
      <c r="F87" s="16">
        <f t="shared" si="122"/>
        <v>499.9</v>
      </c>
      <c r="G87" s="16">
        <f t="shared" si="122"/>
        <v>500</v>
      </c>
    </row>
    <row r="88" spans="1:8" x14ac:dyDescent="0.2">
      <c r="A88" s="17">
        <v>1000</v>
      </c>
      <c r="B88" s="16">
        <f t="shared" si="122"/>
        <v>1000.2</v>
      </c>
      <c r="C88" s="16">
        <f t="shared" si="122"/>
        <v>1000.1</v>
      </c>
      <c r="D88" s="16">
        <f t="shared" si="122"/>
        <v>1000.3</v>
      </c>
      <c r="E88" s="16">
        <f t="shared" si="122"/>
        <v>1000.2</v>
      </c>
      <c r="F88" s="16">
        <f t="shared" si="122"/>
        <v>999.9</v>
      </c>
      <c r="G88" s="16">
        <f t="shared" si="122"/>
        <v>1000</v>
      </c>
    </row>
    <row r="89" spans="1:8" x14ac:dyDescent="0.2">
      <c r="A89" s="6"/>
      <c r="G89" s="7"/>
    </row>
    <row r="90" spans="1:8" x14ac:dyDescent="0.2">
      <c r="A90" s="6"/>
      <c r="B90" t="s">
        <v>47</v>
      </c>
      <c r="C90" t="s">
        <v>48</v>
      </c>
      <c r="D90" t="s">
        <v>49</v>
      </c>
      <c r="E90" t="s">
        <v>50</v>
      </c>
      <c r="F90" t="s">
        <v>51</v>
      </c>
      <c r="G90" s="7" t="s">
        <v>52</v>
      </c>
    </row>
    <row r="91" spans="1:8" x14ac:dyDescent="0.2">
      <c r="A91" s="17">
        <v>-100</v>
      </c>
      <c r="B91" s="16">
        <f t="shared" ref="B91:B96" si="123">J21</f>
        <v>-100.1</v>
      </c>
      <c r="C91" s="16">
        <f t="shared" ref="C91:C96" si="124">K21</f>
        <v>-100</v>
      </c>
      <c r="D91" s="16">
        <f t="shared" ref="D91:D96" si="125">L21</f>
        <v>-100.2</v>
      </c>
      <c r="E91" s="16">
        <f t="shared" ref="E91:E96" si="126">M21</f>
        <v>-100.2</v>
      </c>
      <c r="F91" s="16">
        <f t="shared" ref="F91:F96" si="127">N21</f>
        <v>-100.2</v>
      </c>
      <c r="G91" s="16">
        <f t="shared" ref="G91:G96" si="128">O21</f>
        <v>-100.3</v>
      </c>
    </row>
    <row r="92" spans="1:8" x14ac:dyDescent="0.2">
      <c r="A92" s="17">
        <v>-50</v>
      </c>
      <c r="B92" s="16">
        <f t="shared" si="123"/>
        <v>-49.9</v>
      </c>
      <c r="C92" s="16">
        <f t="shared" si="124"/>
        <v>-50</v>
      </c>
      <c r="D92" s="16">
        <f t="shared" si="125"/>
        <v>-50.1</v>
      </c>
      <c r="E92" s="16">
        <f t="shared" si="126"/>
        <v>-50.2</v>
      </c>
      <c r="F92" s="16">
        <f t="shared" si="127"/>
        <v>-50.1</v>
      </c>
      <c r="G92" s="16">
        <f t="shared" si="128"/>
        <v>-50.2</v>
      </c>
    </row>
    <row r="93" spans="1:8" x14ac:dyDescent="0.2">
      <c r="A93" s="17">
        <v>0</v>
      </c>
      <c r="B93" s="16">
        <f t="shared" si="123"/>
        <v>0.2</v>
      </c>
      <c r="C93" s="16">
        <f t="shared" si="124"/>
        <v>0.2</v>
      </c>
      <c r="D93" s="16">
        <f t="shared" si="125"/>
        <v>0.1</v>
      </c>
      <c r="E93" s="16">
        <f t="shared" si="126"/>
        <v>0.1</v>
      </c>
      <c r="F93" s="16">
        <f t="shared" si="127"/>
        <v>0.1</v>
      </c>
      <c r="G93" s="16">
        <f t="shared" si="128"/>
        <v>0.1</v>
      </c>
    </row>
    <row r="94" spans="1:8" x14ac:dyDescent="0.2">
      <c r="A94" s="17">
        <v>250</v>
      </c>
      <c r="B94" s="16">
        <f t="shared" si="123"/>
        <v>250</v>
      </c>
      <c r="C94" s="16">
        <f t="shared" si="124"/>
        <v>250.1</v>
      </c>
      <c r="D94" s="16">
        <f t="shared" si="125"/>
        <v>249.8</v>
      </c>
      <c r="E94" s="16">
        <f t="shared" si="126"/>
        <v>249.7</v>
      </c>
      <c r="F94" s="16">
        <f t="shared" si="127"/>
        <v>249.8</v>
      </c>
      <c r="G94" s="16">
        <f t="shared" si="128"/>
        <v>250</v>
      </c>
    </row>
    <row r="95" spans="1:8" x14ac:dyDescent="0.2">
      <c r="A95" s="17">
        <v>500</v>
      </c>
      <c r="B95" s="16">
        <f t="shared" si="123"/>
        <v>500.1</v>
      </c>
      <c r="C95" s="16">
        <f t="shared" si="124"/>
        <v>500.1</v>
      </c>
      <c r="D95" s="16">
        <f t="shared" si="125"/>
        <v>500</v>
      </c>
      <c r="E95" s="16">
        <f t="shared" si="126"/>
        <v>500.1</v>
      </c>
      <c r="F95" s="16">
        <f t="shared" si="127"/>
        <v>500</v>
      </c>
      <c r="G95" s="16">
        <f t="shared" si="128"/>
        <v>500.2</v>
      </c>
    </row>
    <row r="96" spans="1:8" x14ac:dyDescent="0.2">
      <c r="A96" s="17">
        <v>1000</v>
      </c>
      <c r="B96" s="16">
        <f t="shared" si="123"/>
        <v>1000</v>
      </c>
      <c r="C96" s="16">
        <f t="shared" si="124"/>
        <v>1000.2</v>
      </c>
      <c r="D96" s="16">
        <f t="shared" si="125"/>
        <v>1000.1</v>
      </c>
      <c r="E96" s="16">
        <f t="shared" si="126"/>
        <v>1000.3</v>
      </c>
      <c r="F96" s="16">
        <f t="shared" si="127"/>
        <v>1000.1</v>
      </c>
      <c r="G96" s="16">
        <f t="shared" si="128"/>
        <v>1000.2</v>
      </c>
    </row>
    <row r="97" spans="1:8" x14ac:dyDescent="0.2">
      <c r="A97" s="17"/>
      <c r="B97" s="16"/>
      <c r="C97" s="16"/>
      <c r="D97" s="16"/>
      <c r="E97" s="16"/>
      <c r="F97" s="16"/>
      <c r="G97" s="16"/>
    </row>
    <row r="98" spans="1:8" x14ac:dyDescent="0.2">
      <c r="A98" s="17"/>
      <c r="B98" s="16"/>
      <c r="C98" s="16"/>
      <c r="D98" s="16"/>
      <c r="E98" s="16"/>
      <c r="F98" s="16"/>
      <c r="G98" s="16"/>
    </row>
    <row r="99" spans="1:8" x14ac:dyDescent="0.2">
      <c r="A99" s="6"/>
      <c r="G99" s="7"/>
    </row>
    <row r="100" spans="1:8" x14ac:dyDescent="0.2">
      <c r="A100" s="3"/>
      <c r="B100" s="4" t="s">
        <v>53</v>
      </c>
      <c r="C100" s="4" t="s">
        <v>54</v>
      </c>
      <c r="D100" s="4" t="s">
        <v>55</v>
      </c>
      <c r="E100" s="4" t="s">
        <v>56</v>
      </c>
      <c r="F100" s="4"/>
      <c r="G100" s="5"/>
      <c r="H100" t="s">
        <v>5</v>
      </c>
    </row>
    <row r="101" spans="1:8" x14ac:dyDescent="0.2">
      <c r="A101" s="17">
        <v>-100</v>
      </c>
      <c r="B101" s="16">
        <f t="shared" ref="B101:B106" si="129">J29</f>
        <v>-100.5</v>
      </c>
      <c r="C101" s="16">
        <f t="shared" ref="C101:C106" si="130">K29</f>
        <v>-100.1</v>
      </c>
      <c r="D101" s="16">
        <f t="shared" ref="D101:D106" si="131">L29</f>
        <v>-99.8</v>
      </c>
      <c r="E101" s="16">
        <f t="shared" ref="E101:E106" si="132">M29</f>
        <v>-99.9</v>
      </c>
      <c r="G101" s="7"/>
    </row>
    <row r="102" spans="1:8" x14ac:dyDescent="0.2">
      <c r="A102" s="17">
        <v>-50</v>
      </c>
      <c r="B102" s="16">
        <f t="shared" si="129"/>
        <v>-50.3</v>
      </c>
      <c r="C102" s="16">
        <f t="shared" si="130"/>
        <v>-49.8</v>
      </c>
      <c r="D102" s="16">
        <f t="shared" si="131"/>
        <v>-50</v>
      </c>
      <c r="E102" s="16">
        <f t="shared" si="132"/>
        <v>-50</v>
      </c>
      <c r="G102" s="7"/>
    </row>
    <row r="103" spans="1:8" x14ac:dyDescent="0.2">
      <c r="A103" s="17">
        <v>0</v>
      </c>
      <c r="B103" s="16">
        <f t="shared" si="129"/>
        <v>0.3</v>
      </c>
      <c r="C103" s="16">
        <f t="shared" si="130"/>
        <v>0.2</v>
      </c>
      <c r="D103" s="16">
        <f t="shared" si="131"/>
        <v>0.2</v>
      </c>
      <c r="E103" s="16">
        <f t="shared" si="132"/>
        <v>0.2</v>
      </c>
      <c r="G103" s="7"/>
    </row>
    <row r="104" spans="1:8" x14ac:dyDescent="0.2">
      <c r="A104" s="17">
        <v>250</v>
      </c>
      <c r="B104" s="16">
        <f t="shared" si="129"/>
        <v>250.3</v>
      </c>
      <c r="C104" s="16">
        <f t="shared" si="130"/>
        <v>250.2</v>
      </c>
      <c r="D104" s="16">
        <f t="shared" si="131"/>
        <v>250.3</v>
      </c>
      <c r="E104" s="16">
        <f t="shared" si="132"/>
        <v>250.1</v>
      </c>
      <c r="G104" s="7"/>
    </row>
    <row r="105" spans="1:8" x14ac:dyDescent="0.2">
      <c r="A105" s="17">
        <v>500</v>
      </c>
      <c r="B105" s="16">
        <f t="shared" si="129"/>
        <v>500.4</v>
      </c>
      <c r="C105" s="16">
        <f t="shared" si="130"/>
        <v>500.3</v>
      </c>
      <c r="D105" s="16">
        <f t="shared" si="131"/>
        <v>500</v>
      </c>
      <c r="E105" s="16">
        <f t="shared" si="132"/>
        <v>500.1</v>
      </c>
      <c r="G105" s="7"/>
    </row>
    <row r="106" spans="1:8" x14ac:dyDescent="0.2">
      <c r="A106" s="17">
        <v>1000</v>
      </c>
      <c r="B106" s="16">
        <f t="shared" si="129"/>
        <v>1000.5</v>
      </c>
      <c r="C106" s="16">
        <f t="shared" si="130"/>
        <v>1000.3</v>
      </c>
      <c r="D106" s="16">
        <f t="shared" si="131"/>
        <v>1000.1</v>
      </c>
      <c r="E106" s="16">
        <f t="shared" si="132"/>
        <v>1000.1</v>
      </c>
      <c r="G106" s="7"/>
    </row>
    <row r="107" spans="1:8" x14ac:dyDescent="0.2">
      <c r="A107" s="6"/>
      <c r="G107" s="7"/>
    </row>
    <row r="108" spans="1:8" x14ac:dyDescent="0.2">
      <c r="A108" s="6"/>
      <c r="G108" s="7"/>
    </row>
    <row r="109" spans="1:8" x14ac:dyDescent="0.2">
      <c r="A109" s="6"/>
      <c r="G109" s="7"/>
    </row>
    <row r="110" spans="1:8" x14ac:dyDescent="0.2">
      <c r="A110" s="6"/>
      <c r="G110" s="7"/>
    </row>
    <row r="111" spans="1:8" x14ac:dyDescent="0.2">
      <c r="A111" s="6"/>
      <c r="G111" s="7"/>
    </row>
    <row r="112" spans="1:8" x14ac:dyDescent="0.2">
      <c r="A112" s="6"/>
      <c r="G112" s="7"/>
    </row>
    <row r="113" spans="1:8" x14ac:dyDescent="0.2">
      <c r="A113" s="6"/>
      <c r="G113" s="7"/>
    </row>
    <row r="114" spans="1:8" x14ac:dyDescent="0.2">
      <c r="A114" s="6"/>
      <c r="G114" s="7"/>
    </row>
    <row r="115" spans="1:8" x14ac:dyDescent="0.2">
      <c r="A115" s="6"/>
      <c r="G115" s="7"/>
    </row>
    <row r="116" spans="1:8" x14ac:dyDescent="0.2">
      <c r="A116" s="6"/>
      <c r="G116" s="7"/>
    </row>
    <row r="117" spans="1:8" x14ac:dyDescent="0.2">
      <c r="A117" s="8"/>
      <c r="B117" s="9"/>
      <c r="C117" s="9"/>
      <c r="D117" s="9"/>
      <c r="E117" s="9"/>
      <c r="F117" s="9"/>
      <c r="G117" s="10"/>
    </row>
    <row r="118" spans="1:8" x14ac:dyDescent="0.2">
      <c r="A118" s="3"/>
      <c r="B118" s="4"/>
      <c r="C118" s="4"/>
      <c r="D118" s="4"/>
      <c r="E118" s="4"/>
      <c r="F118" s="4"/>
      <c r="G118" s="5"/>
      <c r="H118" t="s">
        <v>6</v>
      </c>
    </row>
    <row r="119" spans="1:8" x14ac:dyDescent="0.2">
      <c r="A119" s="6"/>
      <c r="G119" s="7"/>
    </row>
    <row r="120" spans="1:8" x14ac:dyDescent="0.2">
      <c r="A120" s="6"/>
      <c r="G120" s="7"/>
    </row>
    <row r="121" spans="1:8" x14ac:dyDescent="0.2">
      <c r="A121" s="6"/>
      <c r="G121" s="7"/>
    </row>
    <row r="122" spans="1:8" x14ac:dyDescent="0.2">
      <c r="A122" s="6"/>
      <c r="G122" s="7"/>
    </row>
    <row r="123" spans="1:8" x14ac:dyDescent="0.2">
      <c r="A123" s="6"/>
      <c r="G123" s="7"/>
    </row>
    <row r="124" spans="1:8" x14ac:dyDescent="0.2">
      <c r="A124" s="6"/>
      <c r="G124" s="7"/>
    </row>
    <row r="125" spans="1:8" x14ac:dyDescent="0.2">
      <c r="A125" s="6"/>
      <c r="G125" s="7"/>
    </row>
    <row r="126" spans="1:8" x14ac:dyDescent="0.2">
      <c r="A126" s="6"/>
      <c r="G126" s="7"/>
    </row>
    <row r="127" spans="1:8" x14ac:dyDescent="0.2">
      <c r="A127" s="6"/>
      <c r="G127" s="7"/>
    </row>
    <row r="128" spans="1:8" x14ac:dyDescent="0.2">
      <c r="A128" s="6"/>
      <c r="G128" s="7"/>
    </row>
    <row r="129" spans="1:8" x14ac:dyDescent="0.2">
      <c r="A129" s="6"/>
      <c r="G129" s="7"/>
    </row>
    <row r="130" spans="1:8" x14ac:dyDescent="0.2">
      <c r="A130" s="6"/>
      <c r="G130" s="7"/>
    </row>
    <row r="131" spans="1:8" x14ac:dyDescent="0.2">
      <c r="A131" s="6"/>
      <c r="G131" s="7"/>
    </row>
    <row r="132" spans="1:8" x14ac:dyDescent="0.2">
      <c r="A132" s="6"/>
      <c r="G132" s="7"/>
    </row>
    <row r="133" spans="1:8" x14ac:dyDescent="0.2">
      <c r="A133" s="6"/>
      <c r="G133" s="7"/>
    </row>
    <row r="134" spans="1:8" x14ac:dyDescent="0.2">
      <c r="A134" s="6"/>
      <c r="G134" s="7"/>
    </row>
    <row r="135" spans="1:8" x14ac:dyDescent="0.2">
      <c r="A135" s="8"/>
      <c r="B135" s="9"/>
      <c r="C135" s="9"/>
      <c r="D135" s="9"/>
      <c r="E135" s="9"/>
      <c r="F135" s="9"/>
      <c r="G135" s="10"/>
    </row>
    <row r="136" spans="1:8" x14ac:dyDescent="0.2">
      <c r="A136" s="3"/>
      <c r="B136" s="4"/>
      <c r="C136" s="4"/>
      <c r="D136" s="4"/>
      <c r="E136" s="4"/>
      <c r="F136" s="4"/>
      <c r="G136" s="5"/>
      <c r="H136" t="s">
        <v>7</v>
      </c>
    </row>
    <row r="137" spans="1:8" x14ac:dyDescent="0.2">
      <c r="A137" s="6"/>
      <c r="G137" s="7"/>
    </row>
    <row r="138" spans="1:8" x14ac:dyDescent="0.2">
      <c r="A138" s="6"/>
      <c r="G138" s="7"/>
    </row>
    <row r="139" spans="1:8" x14ac:dyDescent="0.2">
      <c r="A139" s="6"/>
      <c r="G139" s="7"/>
    </row>
    <row r="140" spans="1:8" x14ac:dyDescent="0.2">
      <c r="A140" s="6"/>
      <c r="G140" s="7"/>
    </row>
    <row r="141" spans="1:8" x14ac:dyDescent="0.2">
      <c r="A141" s="6"/>
      <c r="G141" s="7"/>
    </row>
    <row r="142" spans="1:8" x14ac:dyDescent="0.2">
      <c r="A142" s="6"/>
      <c r="G142" s="7"/>
    </row>
    <row r="143" spans="1:8" x14ac:dyDescent="0.2">
      <c r="A143" s="6"/>
      <c r="G143" s="7"/>
    </row>
    <row r="144" spans="1:8" x14ac:dyDescent="0.2">
      <c r="A144" s="6"/>
      <c r="G144" s="7"/>
    </row>
    <row r="145" spans="1:8" x14ac:dyDescent="0.2">
      <c r="A145" s="6"/>
      <c r="G145" s="7"/>
    </row>
    <row r="146" spans="1:8" x14ac:dyDescent="0.2">
      <c r="A146" s="6"/>
      <c r="G146" s="7"/>
    </row>
    <row r="147" spans="1:8" x14ac:dyDescent="0.2">
      <c r="A147" s="6"/>
      <c r="G147" s="7"/>
    </row>
    <row r="148" spans="1:8" x14ac:dyDescent="0.2">
      <c r="A148" s="6"/>
      <c r="G148" s="7"/>
    </row>
    <row r="149" spans="1:8" x14ac:dyDescent="0.2">
      <c r="A149" s="6"/>
      <c r="G149" s="7"/>
    </row>
    <row r="150" spans="1:8" x14ac:dyDescent="0.2">
      <c r="A150" s="6"/>
      <c r="G150" s="7"/>
    </row>
    <row r="151" spans="1:8" x14ac:dyDescent="0.2">
      <c r="A151" s="6"/>
      <c r="G151" s="7"/>
    </row>
    <row r="152" spans="1:8" x14ac:dyDescent="0.2">
      <c r="A152" s="6"/>
      <c r="G152" s="7"/>
    </row>
    <row r="153" spans="1:8" x14ac:dyDescent="0.2">
      <c r="A153" s="8"/>
      <c r="B153" s="9"/>
      <c r="C153" s="9"/>
      <c r="D153" s="9"/>
      <c r="E153" s="9"/>
      <c r="F153" s="9"/>
      <c r="G153" s="10"/>
    </row>
    <row r="154" spans="1:8" x14ac:dyDescent="0.2">
      <c r="H154" t="s">
        <v>8</v>
      </c>
    </row>
  </sheetData>
  <mergeCells count="38">
    <mergeCell ref="R4:S4"/>
    <mergeCell ref="J5:K5"/>
    <mergeCell ref="L5:M5"/>
    <mergeCell ref="N5:O5"/>
    <mergeCell ref="P5:Q5"/>
    <mergeCell ref="R5:S5"/>
    <mergeCell ref="J4:K4"/>
    <mergeCell ref="L4:M4"/>
    <mergeCell ref="N4:O4"/>
    <mergeCell ref="P4:Q4"/>
    <mergeCell ref="R2:S2"/>
    <mergeCell ref="J3:K3"/>
    <mergeCell ref="L3:M3"/>
    <mergeCell ref="N3:O3"/>
    <mergeCell ref="P2:Q2"/>
    <mergeCell ref="R3:S3"/>
    <mergeCell ref="J2:K2"/>
    <mergeCell ref="L2:M2"/>
    <mergeCell ref="N2:O2"/>
    <mergeCell ref="P3:Q3"/>
    <mergeCell ref="B6:D6"/>
    <mergeCell ref="G1:H1"/>
    <mergeCell ref="G2:H2"/>
    <mergeCell ref="G3:H3"/>
    <mergeCell ref="G4:H4"/>
    <mergeCell ref="G5:H5"/>
    <mergeCell ref="B1:D1"/>
    <mergeCell ref="B2:D2"/>
    <mergeCell ref="B3:D3"/>
    <mergeCell ref="B4:D4"/>
    <mergeCell ref="B5:D5"/>
    <mergeCell ref="B10:D10"/>
    <mergeCell ref="I8:J8"/>
    <mergeCell ref="K8:T10"/>
    <mergeCell ref="K11:M11"/>
    <mergeCell ref="B7:D7"/>
    <mergeCell ref="B9:C9"/>
    <mergeCell ref="B8:C8"/>
  </mergeCells>
  <phoneticPr fontId="0" type="noConversion"/>
  <pageMargins left="0.75" right="0.75" top="1" bottom="1" header="0.5" footer="0.5"/>
  <pageSetup scale="11" orientation="portrait" r:id="rId1"/>
  <headerFooter alignWithMargins="0"/>
  <customProperties>
    <customPr name="%locator_row%"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Transfer_to_worksheet">
                <anchor moveWithCells="1" sizeWithCells="1">
                  <from>
                    <xdr:col>7</xdr:col>
                    <xdr:colOff>57150</xdr:colOff>
                    <xdr:row>7</xdr:row>
                    <xdr:rowOff>133350</xdr:rowOff>
                  </from>
                  <to>
                    <xdr:col>9</xdr:col>
                    <xdr:colOff>523875</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309"/>
  <sheetViews>
    <sheetView tabSelected="1" view="pageBreakPreview" zoomScaleNormal="100" zoomScaleSheetLayoutView="100" workbookViewId="0">
      <selection activeCell="D240" sqref="D240:E240"/>
    </sheetView>
  </sheetViews>
  <sheetFormatPr defaultRowHeight="12.75" x14ac:dyDescent="0.2"/>
  <cols>
    <col min="1" max="1" width="5.7109375" customWidth="1"/>
    <col min="2" max="2" width="18" customWidth="1"/>
    <col min="3" max="7" width="13.7109375" customWidth="1"/>
    <col min="8" max="8" width="15.28515625" customWidth="1"/>
    <col min="9" max="9" width="9.42578125" customWidth="1"/>
    <col min="10" max="10" width="8.140625" customWidth="1"/>
    <col min="12" max="12" width="11.5703125" customWidth="1"/>
    <col min="13" max="13" width="11.7109375" customWidth="1"/>
    <col min="14" max="14" width="13.28515625" customWidth="1"/>
  </cols>
  <sheetData>
    <row r="1" spans="1:15" ht="28.5" customHeight="1" x14ac:dyDescent="0.45">
      <c r="A1" s="120" t="s">
        <v>58</v>
      </c>
      <c r="B1" s="120"/>
      <c r="C1" s="120"/>
      <c r="D1" s="120"/>
      <c r="E1" s="120"/>
      <c r="F1" s="120"/>
      <c r="G1" s="120"/>
      <c r="H1" s="120"/>
      <c r="I1" s="120"/>
      <c r="J1" s="120"/>
      <c r="L1" s="23" t="s">
        <v>132</v>
      </c>
      <c r="O1" s="23" t="s">
        <v>133</v>
      </c>
    </row>
    <row r="2" spans="1:15" ht="18.75" customHeight="1" x14ac:dyDescent="0.3">
      <c r="A2" s="121" t="s">
        <v>59</v>
      </c>
      <c r="B2" s="121"/>
      <c r="C2" s="121"/>
      <c r="D2" s="121"/>
      <c r="E2" s="121"/>
      <c r="F2" s="121"/>
      <c r="G2" s="121"/>
      <c r="H2" s="121"/>
      <c r="I2" s="121"/>
      <c r="J2" s="121"/>
      <c r="L2" s="59" t="s">
        <v>129</v>
      </c>
      <c r="M2" s="57" t="s">
        <v>130</v>
      </c>
      <c r="N2" s="58" t="s">
        <v>131</v>
      </c>
    </row>
    <row r="3" spans="1:15" ht="18.75" customHeight="1" x14ac:dyDescent="0.3">
      <c r="A3" s="121" t="s">
        <v>60</v>
      </c>
      <c r="B3" s="121"/>
      <c r="C3" s="121"/>
      <c r="D3" s="121"/>
      <c r="E3" s="121"/>
      <c r="F3" s="121"/>
      <c r="G3" s="121"/>
      <c r="H3" s="121"/>
      <c r="I3" s="121"/>
      <c r="J3" s="121"/>
      <c r="L3" s="60">
        <f>[1]Sheet1!$A$6</f>
        <v>0.19</v>
      </c>
      <c r="M3" s="61">
        <f>[1]Sheet1!$B$6</f>
        <v>0.28999999999999998</v>
      </c>
      <c r="N3" s="62">
        <f>[1]Sheet1!$C$6</f>
        <v>0.46</v>
      </c>
    </row>
    <row r="4" spans="1:15" ht="12.75" customHeight="1" x14ac:dyDescent="0.2">
      <c r="B4" s="18"/>
    </row>
    <row r="5" spans="1:15" ht="23.25" customHeight="1" x14ac:dyDescent="0.35">
      <c r="A5" s="122" t="s">
        <v>143</v>
      </c>
      <c r="B5" s="122"/>
      <c r="C5" s="122"/>
      <c r="D5" s="122"/>
      <c r="E5" s="122"/>
      <c r="F5" s="122"/>
      <c r="G5" s="122"/>
      <c r="H5" s="122"/>
      <c r="I5" s="122"/>
      <c r="J5" s="122"/>
    </row>
    <row r="6" spans="1:15" ht="9.9499999999999993" customHeight="1" x14ac:dyDescent="0.3">
      <c r="A6" s="45"/>
      <c r="B6" s="45"/>
      <c r="C6" s="45"/>
      <c r="D6" s="45"/>
      <c r="E6" s="45"/>
      <c r="F6" s="45"/>
      <c r="G6" s="45"/>
      <c r="H6" s="45"/>
      <c r="I6" s="45"/>
      <c r="J6" s="45"/>
    </row>
    <row r="7" spans="1:15" ht="18.75" customHeight="1" x14ac:dyDescent="0.3">
      <c r="A7" s="19"/>
      <c r="B7" s="20"/>
      <c r="C7" s="19"/>
      <c r="D7" s="27"/>
      <c r="E7" s="28" t="s">
        <v>149</v>
      </c>
      <c r="F7" s="27"/>
      <c r="G7" s="19" t="s">
        <v>128</v>
      </c>
      <c r="H7" s="19" t="s">
        <v>127</v>
      </c>
      <c r="J7" s="19"/>
    </row>
    <row r="8" spans="1:15" ht="18.75" customHeight="1" x14ac:dyDescent="0.3">
      <c r="A8" s="19"/>
      <c r="B8" s="25" t="s">
        <v>61</v>
      </c>
      <c r="C8" s="26" t="str">
        <f>Worksheet!B$1</f>
        <v>J10325</v>
      </c>
      <c r="D8" s="27"/>
      <c r="E8" s="27"/>
      <c r="F8" s="27"/>
      <c r="G8" s="27"/>
      <c r="H8" s="27"/>
      <c r="I8" s="27"/>
      <c r="J8" s="27"/>
    </row>
    <row r="9" spans="1:15" ht="18.75" x14ac:dyDescent="0.3">
      <c r="A9" s="19"/>
      <c r="B9" s="25" t="s">
        <v>62</v>
      </c>
      <c r="C9" s="26" t="str">
        <f>Worksheet!B$2</f>
        <v>Johnson Gage and Inspection, Inc.</v>
      </c>
      <c r="D9" s="27"/>
      <c r="E9" s="27"/>
      <c r="F9" s="27"/>
      <c r="H9" s="37"/>
      <c r="I9" s="37"/>
      <c r="J9" s="27"/>
    </row>
    <row r="10" spans="1:15" ht="18.75" x14ac:dyDescent="0.3">
      <c r="A10" s="19"/>
      <c r="B10" s="25"/>
      <c r="C10" s="26"/>
      <c r="D10" s="27"/>
      <c r="E10" s="27"/>
      <c r="F10" s="27"/>
      <c r="I10" s="52"/>
      <c r="J10" s="41"/>
    </row>
    <row r="11" spans="1:15" ht="18.75" x14ac:dyDescent="0.3">
      <c r="A11" s="19"/>
      <c r="B11" s="25" t="s">
        <v>73</v>
      </c>
      <c r="C11" s="26" t="str">
        <f>Worksheet!$B$3</f>
        <v>Data Acquisition System</v>
      </c>
      <c r="D11" s="27"/>
      <c r="E11" s="27"/>
      <c r="F11" s="27"/>
      <c r="G11" s="25" t="s">
        <v>63</v>
      </c>
      <c r="H11" s="52" t="str">
        <f>Worksheet!G$1</f>
        <v>Kevin Ferrante</v>
      </c>
      <c r="I11" s="53"/>
      <c r="J11" s="41"/>
    </row>
    <row r="12" spans="1:15" ht="18.75" x14ac:dyDescent="0.3">
      <c r="A12" s="19"/>
      <c r="B12" s="25" t="s">
        <v>74</v>
      </c>
      <c r="C12" s="26" t="str">
        <f>Worksheet!B$4</f>
        <v>J1</v>
      </c>
      <c r="D12" s="27"/>
      <c r="E12" s="27"/>
      <c r="F12" s="27"/>
      <c r="G12" s="25" t="s">
        <v>64</v>
      </c>
      <c r="H12" s="39">
        <f>Worksheet!G$2</f>
        <v>45747</v>
      </c>
      <c r="I12" s="40"/>
      <c r="J12" s="42"/>
    </row>
    <row r="13" spans="1:15" ht="18.75" x14ac:dyDescent="0.3">
      <c r="A13" s="19"/>
      <c r="B13" s="25" t="s">
        <v>68</v>
      </c>
      <c r="C13" s="26" t="str">
        <f>Worksheet!B$5</f>
        <v>DaqBook/2005</v>
      </c>
      <c r="D13" s="27"/>
      <c r="E13" s="27"/>
      <c r="F13" s="27"/>
      <c r="G13" s="25" t="s">
        <v>65</v>
      </c>
      <c r="H13" s="39">
        <f>Worksheet!G$3</f>
        <v>45838</v>
      </c>
      <c r="I13" s="44"/>
      <c r="J13" s="44"/>
    </row>
    <row r="14" spans="1:15" ht="18.75" x14ac:dyDescent="0.3">
      <c r="A14" s="19"/>
      <c r="B14" s="25" t="s">
        <v>69</v>
      </c>
      <c r="C14" s="26">
        <f>Worksheet!B$6</f>
        <v>807408</v>
      </c>
      <c r="D14" s="27"/>
      <c r="E14" s="27"/>
      <c r="F14" s="27"/>
      <c r="G14" s="25" t="s">
        <v>66</v>
      </c>
      <c r="H14" s="40">
        <f>Worksheet!G$4</f>
        <v>73</v>
      </c>
      <c r="I14" s="29"/>
      <c r="J14" s="29"/>
    </row>
    <row r="15" spans="1:15" ht="18.75" x14ac:dyDescent="0.3">
      <c r="A15" s="19"/>
      <c r="B15" s="25" t="s">
        <v>75</v>
      </c>
      <c r="C15" s="26" t="str">
        <f>Worksheet!B$7</f>
        <v>Pyrometry</v>
      </c>
      <c r="D15" s="27"/>
      <c r="E15" s="27"/>
      <c r="F15" s="27"/>
      <c r="G15" s="25" t="s">
        <v>67</v>
      </c>
      <c r="H15" s="43">
        <f>Worksheet!G$5</f>
        <v>29</v>
      </c>
      <c r="I15" s="29"/>
      <c r="J15" s="29"/>
    </row>
    <row r="16" spans="1:15" ht="3.95" customHeight="1" x14ac:dyDescent="0.25">
      <c r="A16" s="21"/>
      <c r="B16" s="22"/>
      <c r="C16" s="21"/>
      <c r="D16" s="21"/>
      <c r="E16" s="21"/>
      <c r="F16" s="21"/>
      <c r="G16" s="21"/>
      <c r="H16" s="21"/>
      <c r="I16" s="21"/>
      <c r="J16" s="21"/>
    </row>
    <row r="17" spans="1:14" ht="15.75" customHeight="1" x14ac:dyDescent="0.25">
      <c r="A17" s="19"/>
      <c r="B17" s="20" t="s">
        <v>87</v>
      </c>
      <c r="C17" s="131" t="str">
        <f>Worksheet!B$8</f>
        <v>-100°F / +1000°F</v>
      </c>
      <c r="D17" s="131"/>
      <c r="E17" s="131"/>
      <c r="F17" s="19"/>
      <c r="G17" s="20" t="s">
        <v>71</v>
      </c>
      <c r="H17" s="131" t="str">
        <f>Worksheet!G$8</f>
        <v>AMS 2750H</v>
      </c>
      <c r="I17" s="131"/>
      <c r="J17" s="131"/>
    </row>
    <row r="18" spans="1:14" ht="15.75" x14ac:dyDescent="0.25">
      <c r="A18" s="19"/>
      <c r="B18" s="20" t="s">
        <v>85</v>
      </c>
      <c r="C18" s="131" t="str">
        <f>Worksheet!B$9</f>
        <v>0.1°F</v>
      </c>
      <c r="D18" s="131"/>
      <c r="E18" s="131"/>
      <c r="F18" s="19"/>
      <c r="G18" s="20" t="s">
        <v>72</v>
      </c>
      <c r="H18" s="131" t="str">
        <f>Worksheet!G$9</f>
        <v>Specification</v>
      </c>
      <c r="I18" s="131"/>
      <c r="J18" s="131"/>
    </row>
    <row r="19" spans="1:14" ht="15.75" x14ac:dyDescent="0.25">
      <c r="A19" s="19"/>
      <c r="B19" s="20" t="s">
        <v>70</v>
      </c>
      <c r="C19" s="131" t="str">
        <f>Worksheet!B$10</f>
        <v>Greater of ±1.0°F or ±0.1% Rdg</v>
      </c>
      <c r="D19" s="131"/>
      <c r="E19" s="131"/>
      <c r="F19" s="19"/>
      <c r="G19" s="20" t="s">
        <v>113</v>
      </c>
      <c r="H19" s="131" t="str">
        <f>Worksheet!G$10</f>
        <v>Used</v>
      </c>
      <c r="I19" s="131"/>
      <c r="J19" s="131"/>
    </row>
    <row r="20" spans="1:14" ht="3.95" customHeight="1" x14ac:dyDescent="0.25">
      <c r="A20" s="21"/>
      <c r="B20" s="22"/>
      <c r="C20" s="21"/>
      <c r="D20" s="21"/>
      <c r="E20" s="21"/>
      <c r="F20" s="21"/>
      <c r="G20" s="21"/>
      <c r="H20" s="21"/>
      <c r="I20" s="21"/>
      <c r="J20" s="21"/>
    </row>
    <row r="21" spans="1:14" ht="18.75" customHeight="1" x14ac:dyDescent="0.3">
      <c r="B21" s="35" t="s">
        <v>79</v>
      </c>
      <c r="C21" s="132" t="s">
        <v>80</v>
      </c>
      <c r="D21" s="132"/>
      <c r="E21" s="132"/>
      <c r="F21" s="132"/>
      <c r="G21" s="132"/>
      <c r="H21" s="132"/>
      <c r="I21" s="34" t="s">
        <v>109</v>
      </c>
      <c r="J21" s="47"/>
    </row>
    <row r="22" spans="1:14" ht="18.75" x14ac:dyDescent="0.3">
      <c r="B22" s="35" t="s">
        <v>0</v>
      </c>
      <c r="C22" s="36" t="str">
        <f>IF(Worksheet!B$45="","",Worksheet!B$45)</f>
        <v>TYPE "J"</v>
      </c>
      <c r="D22" s="36" t="str">
        <f>IF(Worksheet!C$45="","",Worksheet!C$45)</f>
        <v>TYPE "J"</v>
      </c>
      <c r="E22" s="36" t="str">
        <f>IF(Worksheet!D$45="","",Worksheet!D$45)</f>
        <v>TYPE "J"</v>
      </c>
      <c r="F22" s="36" t="str">
        <f>IF(Worksheet!E$45="","",Worksheet!E$45)</f>
        <v>TYPE "J"</v>
      </c>
      <c r="G22" s="36" t="str">
        <f>IF(Worksheet!F$45="","",Worksheet!F$45)</f>
        <v>TYPE "J"</v>
      </c>
      <c r="H22" s="36" t="str">
        <f>IF(Worksheet!G$45="","",Worksheet!G$45)</f>
        <v>TYPE "J"</v>
      </c>
      <c r="I22" s="48" t="s">
        <v>110</v>
      </c>
      <c r="J22" s="37"/>
    </row>
    <row r="23" spans="1:14" ht="18.75" x14ac:dyDescent="0.3">
      <c r="B23" s="37"/>
      <c r="C23" s="46" t="str">
        <f>IF(Worksheet!B46="","",Worksheet!B46)</f>
        <v>POINT #1</v>
      </c>
      <c r="D23" s="46" t="str">
        <f>IF(Worksheet!C46="","",Worksheet!C46)</f>
        <v>POINT #2</v>
      </c>
      <c r="E23" s="46" t="str">
        <f>IF(Worksheet!D46="","",Worksheet!D46)</f>
        <v>POINT #3</v>
      </c>
      <c r="F23" s="46" t="str">
        <f>IF(Worksheet!E46="","",Worksheet!E46)</f>
        <v>POINT #4</v>
      </c>
      <c r="G23" s="46" t="str">
        <f>IF(Worksheet!F46="","",Worksheet!F46)</f>
        <v>POINT #5</v>
      </c>
      <c r="H23" s="46" t="str">
        <f>IF(Worksheet!G46="","",Worksheet!G46)</f>
        <v>POINT #6</v>
      </c>
      <c r="I23" s="37"/>
      <c r="J23" s="37"/>
    </row>
    <row r="24" spans="1:14" ht="18.75" x14ac:dyDescent="0.3">
      <c r="B24" s="38">
        <f>IF(Worksheet!A47="","",Worksheet!A47)</f>
        <v>-100</v>
      </c>
      <c r="C24" s="38">
        <f>IF(Worksheet!B47="","",Worksheet!B47)</f>
        <v>-99.8</v>
      </c>
      <c r="D24" s="38">
        <f>IF(Worksheet!C47="","",Worksheet!C47)</f>
        <v>-99.9</v>
      </c>
      <c r="E24" s="38">
        <f>IF(Worksheet!D47="","",Worksheet!D47)</f>
        <v>-99.8</v>
      </c>
      <c r="F24" s="38">
        <f>IF(Worksheet!E47="","",Worksheet!E47)</f>
        <v>-99.9</v>
      </c>
      <c r="G24" s="38">
        <f>IF(Worksheet!F47="","",Worksheet!F47)</f>
        <v>-100</v>
      </c>
      <c r="H24" s="38">
        <f>IF(Worksheet!G47="","",Worksheet!G47)</f>
        <v>-99.9</v>
      </c>
      <c r="I24" s="63">
        <f t="shared" ref="I24:I29" si="0">IF(B24="","",MAX(L24,M24,N24))</f>
        <v>0.19</v>
      </c>
      <c r="J24" s="37"/>
      <c r="L24">
        <f t="shared" ref="L24:L29" si="1">IF(B24&lt;500.1,L$3,0)</f>
        <v>0.19</v>
      </c>
      <c r="M24">
        <f t="shared" ref="M24:M29" si="2">IF(AND(B24&gt;500,B24&lt;1350.1),M$3,0)</f>
        <v>0</v>
      </c>
      <c r="N24">
        <f t="shared" ref="N24:N29" si="3">IF(B24&gt;1350,N$3,0)</f>
        <v>0</v>
      </c>
    </row>
    <row r="25" spans="1:14" ht="18.75" x14ac:dyDescent="0.3">
      <c r="B25" s="38">
        <f>IF(Worksheet!A48="","",Worksheet!A48)</f>
        <v>-50</v>
      </c>
      <c r="C25" s="38">
        <f>IF(Worksheet!B48="","",Worksheet!B48)</f>
        <v>-49.8</v>
      </c>
      <c r="D25" s="38">
        <f>IF(Worksheet!C48="","",Worksheet!C48)</f>
        <v>-49.9</v>
      </c>
      <c r="E25" s="38">
        <f>IF(Worksheet!D48="","",Worksheet!D48)</f>
        <v>-49.8</v>
      </c>
      <c r="F25" s="38">
        <f>IF(Worksheet!E48="","",Worksheet!E48)</f>
        <v>-49.9</v>
      </c>
      <c r="G25" s="38">
        <f>IF(Worksheet!F48="","",Worksheet!F48)</f>
        <v>-50</v>
      </c>
      <c r="H25" s="38">
        <f>IF(Worksheet!G48="","",Worksheet!G48)</f>
        <v>-49.9</v>
      </c>
      <c r="I25" s="63">
        <f t="shared" si="0"/>
        <v>0.19</v>
      </c>
      <c r="J25" s="37"/>
      <c r="L25">
        <f t="shared" si="1"/>
        <v>0.19</v>
      </c>
      <c r="M25">
        <f t="shared" si="2"/>
        <v>0</v>
      </c>
      <c r="N25">
        <f t="shared" si="3"/>
        <v>0</v>
      </c>
    </row>
    <row r="26" spans="1:14" ht="18.75" x14ac:dyDescent="0.3">
      <c r="B26" s="38">
        <f>IF(Worksheet!A49="","",Worksheet!A49)</f>
        <v>0</v>
      </c>
      <c r="C26" s="38">
        <f>IF(Worksheet!B49="","",Worksheet!B49)</f>
        <v>-0.1</v>
      </c>
      <c r="D26" s="38">
        <f>IF(Worksheet!C49="","",Worksheet!C49)</f>
        <v>0</v>
      </c>
      <c r="E26" s="38">
        <f>IF(Worksheet!D49="","",Worksheet!D49)</f>
        <v>-0.2</v>
      </c>
      <c r="F26" s="38">
        <f>IF(Worksheet!E49="","",Worksheet!E49)</f>
        <v>0</v>
      </c>
      <c r="G26" s="38">
        <f>IF(Worksheet!F49="","",Worksheet!F49)</f>
        <v>0</v>
      </c>
      <c r="H26" s="38">
        <f>IF(Worksheet!G49="","",Worksheet!G49)</f>
        <v>0</v>
      </c>
      <c r="I26" s="63">
        <f t="shared" si="0"/>
        <v>0.19</v>
      </c>
      <c r="J26" s="37"/>
      <c r="L26">
        <f t="shared" si="1"/>
        <v>0.19</v>
      </c>
      <c r="M26">
        <f t="shared" si="2"/>
        <v>0</v>
      </c>
      <c r="N26">
        <f t="shared" si="3"/>
        <v>0</v>
      </c>
    </row>
    <row r="27" spans="1:14" ht="18.75" x14ac:dyDescent="0.3">
      <c r="B27" s="38">
        <f>IF(Worksheet!A50="","",Worksheet!A50)</f>
        <v>250</v>
      </c>
      <c r="C27" s="38">
        <f>IF(Worksheet!B50="","",Worksheet!B50)</f>
        <v>249.8</v>
      </c>
      <c r="D27" s="38">
        <f>IF(Worksheet!C50="","",Worksheet!C50)</f>
        <v>249.9</v>
      </c>
      <c r="E27" s="38">
        <f>IF(Worksheet!D50="","",Worksheet!D50)</f>
        <v>249.9</v>
      </c>
      <c r="F27" s="38">
        <f>IF(Worksheet!E50="","",Worksheet!E50)</f>
        <v>250</v>
      </c>
      <c r="G27" s="38">
        <f>IF(Worksheet!F50="","",Worksheet!F50)</f>
        <v>249.9</v>
      </c>
      <c r="H27" s="38">
        <f>IF(Worksheet!G50="","",Worksheet!G50)</f>
        <v>250</v>
      </c>
      <c r="I27" s="63">
        <f t="shared" si="0"/>
        <v>0.19</v>
      </c>
      <c r="J27" s="37"/>
      <c r="L27">
        <f t="shared" si="1"/>
        <v>0.19</v>
      </c>
      <c r="M27">
        <f t="shared" si="2"/>
        <v>0</v>
      </c>
      <c r="N27">
        <f t="shared" si="3"/>
        <v>0</v>
      </c>
    </row>
    <row r="28" spans="1:14" ht="18.75" x14ac:dyDescent="0.3">
      <c r="B28" s="38">
        <f>IF(Worksheet!A51="","",Worksheet!A51)</f>
        <v>500</v>
      </c>
      <c r="C28" s="38">
        <f>IF(Worksheet!B51="","",Worksheet!B51)</f>
        <v>499.8</v>
      </c>
      <c r="D28" s="38">
        <f>IF(Worksheet!C51="","",Worksheet!C51)</f>
        <v>499.9</v>
      </c>
      <c r="E28" s="38">
        <f>IF(Worksheet!D51="","",Worksheet!D51)</f>
        <v>499.9</v>
      </c>
      <c r="F28" s="38">
        <f>IF(Worksheet!E51="","",Worksheet!E51)</f>
        <v>499.9</v>
      </c>
      <c r="G28" s="38">
        <f>IF(Worksheet!F51="","",Worksheet!F51)</f>
        <v>499.9</v>
      </c>
      <c r="H28" s="38">
        <f>IF(Worksheet!G51="","",Worksheet!G51)</f>
        <v>499.9</v>
      </c>
      <c r="I28" s="63">
        <f t="shared" si="0"/>
        <v>0.19</v>
      </c>
      <c r="J28" s="37"/>
      <c r="L28">
        <f t="shared" si="1"/>
        <v>0.19</v>
      </c>
      <c r="M28">
        <f t="shared" si="2"/>
        <v>0</v>
      </c>
      <c r="N28">
        <f t="shared" si="3"/>
        <v>0</v>
      </c>
    </row>
    <row r="29" spans="1:14" ht="18.75" x14ac:dyDescent="0.3">
      <c r="B29" s="38">
        <f>IF(Worksheet!A52="","",Worksheet!A52)</f>
        <v>1000</v>
      </c>
      <c r="C29" s="38">
        <f>IF(Worksheet!B52="","",Worksheet!B52)</f>
        <v>999.9</v>
      </c>
      <c r="D29" s="38">
        <f>IF(Worksheet!C52="","",Worksheet!C52)</f>
        <v>999.8</v>
      </c>
      <c r="E29" s="38">
        <f>IF(Worksheet!D52="","",Worksheet!D52)</f>
        <v>999.9</v>
      </c>
      <c r="F29" s="38">
        <f>IF(Worksheet!E52="","",Worksheet!E52)</f>
        <v>999.9</v>
      </c>
      <c r="G29" s="38">
        <f>IF(Worksheet!F52="","",Worksheet!F52)</f>
        <v>999.8</v>
      </c>
      <c r="H29" s="38">
        <f>IF(Worksheet!G52="","",Worksheet!G52)</f>
        <v>999.9</v>
      </c>
      <c r="I29" s="63">
        <f t="shared" si="0"/>
        <v>0.28999999999999998</v>
      </c>
      <c r="J29" s="37"/>
      <c r="L29">
        <f t="shared" si="1"/>
        <v>0</v>
      </c>
      <c r="M29">
        <f t="shared" si="2"/>
        <v>0.28999999999999998</v>
      </c>
      <c r="N29">
        <f t="shared" si="3"/>
        <v>0</v>
      </c>
    </row>
    <row r="30" spans="1:14" ht="9.9499999999999993" customHeight="1" x14ac:dyDescent="0.3">
      <c r="B30" s="37"/>
      <c r="C30" s="37"/>
      <c r="D30" s="37"/>
      <c r="E30" s="37"/>
      <c r="F30" s="37"/>
      <c r="G30" s="37"/>
      <c r="H30" s="37"/>
      <c r="I30" s="37"/>
      <c r="J30" s="37"/>
    </row>
    <row r="31" spans="1:14" ht="18.75" x14ac:dyDescent="0.3">
      <c r="B31" s="37"/>
      <c r="C31" s="46" t="str">
        <f>Worksheet!B54</f>
        <v>POINT #7</v>
      </c>
      <c r="D31" s="46" t="str">
        <f>Worksheet!C54</f>
        <v>POINT #8</v>
      </c>
      <c r="E31" s="46" t="str">
        <f>Worksheet!D54</f>
        <v>POINT #9</v>
      </c>
      <c r="F31" s="46" t="str">
        <f>Worksheet!E54</f>
        <v>POINT #10</v>
      </c>
      <c r="G31" s="46" t="str">
        <f>Worksheet!F54</f>
        <v>POINT #11</v>
      </c>
      <c r="H31" s="46" t="str">
        <f>Worksheet!G54</f>
        <v>POINT #12</v>
      </c>
      <c r="I31" s="37"/>
      <c r="J31" s="37"/>
    </row>
    <row r="32" spans="1:14" ht="18.75" x14ac:dyDescent="0.3">
      <c r="B32" s="38">
        <f>IF(Worksheet!A55="","",Worksheet!A55)</f>
        <v>-100</v>
      </c>
      <c r="C32" s="38">
        <f>IF(Worksheet!B55="","",Worksheet!B55)</f>
        <v>-99.9</v>
      </c>
      <c r="D32" s="38">
        <f>IF(Worksheet!C55="","",Worksheet!C55)</f>
        <v>-100</v>
      </c>
      <c r="E32" s="38">
        <f>IF(Worksheet!D55="","",Worksheet!D55)</f>
        <v>-99.7</v>
      </c>
      <c r="F32" s="38">
        <f>IF(Worksheet!E55="","",Worksheet!E55)</f>
        <v>-100.1</v>
      </c>
      <c r="G32" s="38">
        <f>IF(Worksheet!F55="","",Worksheet!F55)</f>
        <v>-99.8</v>
      </c>
      <c r="H32" s="38">
        <f>IF(Worksheet!G55="","",Worksheet!G55)</f>
        <v>-100.1</v>
      </c>
      <c r="I32" s="63">
        <f t="shared" ref="I32:I37" si="4">IF(B32="","",MAX(L32,M32,N32))</f>
        <v>0.19</v>
      </c>
      <c r="J32" s="37"/>
      <c r="L32">
        <f t="shared" ref="L32:L37" si="5">IF(B32&lt;500.1,L$3,0)</f>
        <v>0.19</v>
      </c>
      <c r="M32">
        <f t="shared" ref="M32:M37" si="6">IF(AND(B32&gt;500,B32&lt;1350.1),M$3,0)</f>
        <v>0</v>
      </c>
      <c r="N32">
        <f t="shared" ref="N32:N37" si="7">IF(B32&gt;1350,N$3,0)</f>
        <v>0</v>
      </c>
    </row>
    <row r="33" spans="1:14" ht="18.75" x14ac:dyDescent="0.3">
      <c r="B33" s="38">
        <f>IF(Worksheet!A56="","",Worksheet!A56)</f>
        <v>-50</v>
      </c>
      <c r="C33" s="38">
        <f>IF(Worksheet!B56="","",Worksheet!B56)</f>
        <v>-50</v>
      </c>
      <c r="D33" s="38">
        <f>IF(Worksheet!C56="","",Worksheet!C56)</f>
        <v>-50</v>
      </c>
      <c r="E33" s="38">
        <f>IF(Worksheet!D56="","",Worksheet!D56)</f>
        <v>-49.7</v>
      </c>
      <c r="F33" s="38">
        <f>IF(Worksheet!E56="","",Worksheet!E56)</f>
        <v>-50.1</v>
      </c>
      <c r="G33" s="38">
        <f>IF(Worksheet!F56="","",Worksheet!F56)</f>
        <v>-49.8</v>
      </c>
      <c r="H33" s="38">
        <f>IF(Worksheet!G56="","",Worksheet!G56)</f>
        <v>-50.1</v>
      </c>
      <c r="I33" s="63">
        <f t="shared" si="4"/>
        <v>0.19</v>
      </c>
      <c r="J33" s="37"/>
      <c r="L33">
        <f t="shared" si="5"/>
        <v>0.19</v>
      </c>
      <c r="M33">
        <f t="shared" si="6"/>
        <v>0</v>
      </c>
      <c r="N33">
        <f t="shared" si="7"/>
        <v>0</v>
      </c>
    </row>
    <row r="34" spans="1:14" ht="18.75" x14ac:dyDescent="0.3">
      <c r="B34" s="38">
        <f>IF(Worksheet!A57="","",Worksheet!A57)</f>
        <v>0</v>
      </c>
      <c r="C34" s="38">
        <f>IF(Worksheet!B57="","",Worksheet!B57)</f>
        <v>0</v>
      </c>
      <c r="D34" s="38">
        <f>IF(Worksheet!C57="","",Worksheet!C57)</f>
        <v>0.1</v>
      </c>
      <c r="E34" s="38">
        <f>IF(Worksheet!D57="","",Worksheet!D57)</f>
        <v>-0.3</v>
      </c>
      <c r="F34" s="38">
        <f>IF(Worksheet!E57="","",Worksheet!E57)</f>
        <v>0.1</v>
      </c>
      <c r="G34" s="38">
        <f>IF(Worksheet!F57="","",Worksheet!F57)</f>
        <v>-0.2</v>
      </c>
      <c r="H34" s="38">
        <f>IF(Worksheet!G57="","",Worksheet!G57)</f>
        <v>-0.1</v>
      </c>
      <c r="I34" s="63">
        <f t="shared" si="4"/>
        <v>0.19</v>
      </c>
      <c r="J34" s="37"/>
      <c r="L34">
        <f t="shared" si="5"/>
        <v>0.19</v>
      </c>
      <c r="M34">
        <f t="shared" si="6"/>
        <v>0</v>
      </c>
      <c r="N34">
        <f t="shared" si="7"/>
        <v>0</v>
      </c>
    </row>
    <row r="35" spans="1:14" ht="18.75" x14ac:dyDescent="0.3">
      <c r="B35" s="38">
        <f>IF(Worksheet!A58="","",Worksheet!A58)</f>
        <v>250</v>
      </c>
      <c r="C35" s="38">
        <f>IF(Worksheet!B58="","",Worksheet!B58)</f>
        <v>249.9</v>
      </c>
      <c r="D35" s="38">
        <f>IF(Worksheet!C58="","",Worksheet!C58)</f>
        <v>249.9</v>
      </c>
      <c r="E35" s="38">
        <f>IF(Worksheet!D58="","",Worksheet!D58)</f>
        <v>249.8</v>
      </c>
      <c r="F35" s="38">
        <f>IF(Worksheet!E58="","",Worksheet!E58)</f>
        <v>249.9</v>
      </c>
      <c r="G35" s="38">
        <f>IF(Worksheet!F58="","",Worksheet!F58)</f>
        <v>249.9</v>
      </c>
      <c r="H35" s="38">
        <f>IF(Worksheet!G58="","",Worksheet!G58)</f>
        <v>249.8</v>
      </c>
      <c r="I35" s="63">
        <f t="shared" si="4"/>
        <v>0.19</v>
      </c>
      <c r="J35" s="37"/>
      <c r="L35">
        <f t="shared" si="5"/>
        <v>0.19</v>
      </c>
      <c r="M35">
        <f t="shared" si="6"/>
        <v>0</v>
      </c>
      <c r="N35">
        <f t="shared" si="7"/>
        <v>0</v>
      </c>
    </row>
    <row r="36" spans="1:14" ht="18.75" x14ac:dyDescent="0.3">
      <c r="B36" s="38">
        <f>IF(Worksheet!A59="","",Worksheet!A59)</f>
        <v>500</v>
      </c>
      <c r="C36" s="38">
        <f>IF(Worksheet!B59="","",Worksheet!B59)</f>
        <v>499.8</v>
      </c>
      <c r="D36" s="38">
        <f>IF(Worksheet!C59="","",Worksheet!C59)</f>
        <v>499.8</v>
      </c>
      <c r="E36" s="38">
        <f>IF(Worksheet!D59="","",Worksheet!D59)</f>
        <v>499.8</v>
      </c>
      <c r="F36" s="38">
        <f>IF(Worksheet!E59="","",Worksheet!E59)</f>
        <v>499.8</v>
      </c>
      <c r="G36" s="38">
        <f>IF(Worksheet!F59="","",Worksheet!F59)</f>
        <v>499.9</v>
      </c>
      <c r="H36" s="38">
        <f>IF(Worksheet!G59="","",Worksheet!G59)</f>
        <v>499.8</v>
      </c>
      <c r="I36" s="63">
        <f t="shared" si="4"/>
        <v>0.19</v>
      </c>
      <c r="J36" s="37"/>
      <c r="L36">
        <f t="shared" si="5"/>
        <v>0.19</v>
      </c>
      <c r="M36">
        <f t="shared" si="6"/>
        <v>0</v>
      </c>
      <c r="N36">
        <f t="shared" si="7"/>
        <v>0</v>
      </c>
    </row>
    <row r="37" spans="1:14" ht="18.75" x14ac:dyDescent="0.3">
      <c r="B37" s="38">
        <f>IF(Worksheet!A60="","",Worksheet!A60)</f>
        <v>1000</v>
      </c>
      <c r="C37" s="38">
        <f>IF(Worksheet!B60="","",Worksheet!B60)</f>
        <v>999.6</v>
      </c>
      <c r="D37" s="38">
        <f>IF(Worksheet!C60="","",Worksheet!C60)</f>
        <v>999.8</v>
      </c>
      <c r="E37" s="38">
        <f>IF(Worksheet!D60="","",Worksheet!D60)</f>
        <v>999.9</v>
      </c>
      <c r="F37" s="38">
        <f>IF(Worksheet!E60="","",Worksheet!E60)</f>
        <v>999.7</v>
      </c>
      <c r="G37" s="38">
        <f>IF(Worksheet!F60="","",Worksheet!F60)</f>
        <v>999.8</v>
      </c>
      <c r="H37" s="38">
        <f>IF(Worksheet!G60="","",Worksheet!G60)</f>
        <v>999.8</v>
      </c>
      <c r="I37" s="63">
        <f t="shared" si="4"/>
        <v>0.28999999999999998</v>
      </c>
      <c r="J37" s="37"/>
      <c r="L37">
        <f t="shared" si="5"/>
        <v>0</v>
      </c>
      <c r="M37">
        <f t="shared" si="6"/>
        <v>0.28999999999999998</v>
      </c>
      <c r="N37">
        <f t="shared" si="7"/>
        <v>0</v>
      </c>
    </row>
    <row r="38" spans="1:14" ht="9.9499999999999993" customHeight="1" x14ac:dyDescent="0.3">
      <c r="B38" s="37"/>
      <c r="C38" s="37"/>
      <c r="D38" s="37"/>
      <c r="E38" s="37"/>
      <c r="F38" s="37"/>
      <c r="G38" s="37"/>
      <c r="H38" s="37"/>
      <c r="I38" s="37"/>
      <c r="J38" s="37"/>
    </row>
    <row r="39" spans="1:14" ht="9.9499999999999993" customHeight="1" x14ac:dyDescent="0.2">
      <c r="A39" s="129" t="s">
        <v>111</v>
      </c>
      <c r="B39" s="129"/>
      <c r="C39" s="129"/>
      <c r="D39" s="129"/>
      <c r="E39" s="129"/>
      <c r="F39" s="129"/>
      <c r="G39" s="129"/>
      <c r="H39" s="129"/>
      <c r="I39" s="129"/>
      <c r="J39" s="129"/>
    </row>
    <row r="40" spans="1:14" ht="3.95" customHeight="1" x14ac:dyDescent="0.3">
      <c r="A40" s="49"/>
      <c r="B40" s="50"/>
      <c r="C40" s="50"/>
      <c r="D40" s="50"/>
      <c r="E40" s="50"/>
      <c r="F40" s="50"/>
      <c r="G40" s="50"/>
      <c r="H40" s="50"/>
      <c r="I40" s="50"/>
      <c r="J40" s="50"/>
    </row>
    <row r="41" spans="1:14" ht="15" customHeight="1" x14ac:dyDescent="0.2">
      <c r="A41" s="130" t="s">
        <v>112</v>
      </c>
      <c r="B41" s="130"/>
      <c r="C41" s="130"/>
      <c r="D41" s="130"/>
      <c r="E41" s="130"/>
      <c r="F41" s="130"/>
      <c r="G41" s="130"/>
      <c r="H41" s="130"/>
      <c r="I41" s="130"/>
      <c r="J41" s="130"/>
    </row>
    <row r="42" spans="1:14" ht="15" customHeight="1" x14ac:dyDescent="0.2">
      <c r="A42" s="130"/>
      <c r="B42" s="130"/>
      <c r="C42" s="130"/>
      <c r="D42" s="130"/>
      <c r="E42" s="130"/>
      <c r="F42" s="130"/>
      <c r="G42" s="130"/>
      <c r="H42" s="130"/>
      <c r="I42" s="130"/>
      <c r="J42" s="130"/>
    </row>
    <row r="43" spans="1:14" ht="15" customHeight="1" x14ac:dyDescent="0.2">
      <c r="A43" s="130"/>
      <c r="B43" s="130"/>
      <c r="C43" s="130"/>
      <c r="D43" s="130"/>
      <c r="E43" s="130"/>
      <c r="F43" s="130"/>
      <c r="G43" s="130"/>
      <c r="H43" s="130"/>
      <c r="I43" s="130"/>
      <c r="J43" s="130"/>
    </row>
    <row r="44" spans="1:14" ht="3.95" customHeight="1" x14ac:dyDescent="0.2">
      <c r="A44" s="49"/>
      <c r="B44" s="51"/>
      <c r="C44" s="51"/>
      <c r="D44" s="51"/>
      <c r="E44" s="51"/>
      <c r="F44" s="51"/>
      <c r="G44" s="51"/>
      <c r="H44" s="51"/>
      <c r="I44" s="51"/>
      <c r="J44" s="51"/>
    </row>
    <row r="45" spans="1:14" ht="18.75" customHeight="1" x14ac:dyDescent="0.3">
      <c r="B45" s="37" t="s">
        <v>115</v>
      </c>
    </row>
    <row r="46" spans="1:14" ht="12.75" customHeight="1" x14ac:dyDescent="0.2">
      <c r="B46" s="133" t="str">
        <f>Worksheet!K$8</f>
        <v>Found in tolerance.  No adjustment required.  Above results represent both as found and as left readings.</v>
      </c>
      <c r="C46" s="133"/>
      <c r="D46" s="133"/>
      <c r="E46" s="133"/>
      <c r="F46" s="133"/>
      <c r="G46" s="133"/>
      <c r="H46" s="133"/>
      <c r="I46" s="133"/>
    </row>
    <row r="47" spans="1:14" x14ac:dyDescent="0.2">
      <c r="B47" s="133"/>
      <c r="C47" s="133"/>
      <c r="D47" s="133"/>
      <c r="E47" s="133"/>
      <c r="F47" s="133"/>
      <c r="G47" s="133"/>
      <c r="H47" s="133"/>
      <c r="I47" s="133"/>
    </row>
    <row r="48" spans="1:14" x14ac:dyDescent="0.2">
      <c r="B48" s="133"/>
      <c r="C48" s="133"/>
      <c r="D48" s="133"/>
      <c r="E48" s="133"/>
      <c r="F48" s="133"/>
      <c r="G48" s="133"/>
      <c r="H48" s="133"/>
      <c r="I48" s="133"/>
    </row>
    <row r="49" spans="1:10" x14ac:dyDescent="0.2">
      <c r="B49" s="133"/>
      <c r="C49" s="133"/>
      <c r="D49" s="133"/>
      <c r="E49" s="133"/>
      <c r="F49" s="133"/>
      <c r="G49" s="133"/>
      <c r="H49" s="133"/>
      <c r="I49" s="133"/>
    </row>
    <row r="50" spans="1:10" x14ac:dyDescent="0.2">
      <c r="B50" s="133"/>
      <c r="C50" s="133"/>
      <c r="D50" s="133"/>
      <c r="E50" s="133"/>
      <c r="F50" s="133"/>
      <c r="G50" s="133"/>
      <c r="H50" s="133"/>
      <c r="I50" s="133"/>
    </row>
    <row r="51" spans="1:10" ht="18.75" x14ac:dyDescent="0.3">
      <c r="B51" s="54" t="s">
        <v>118</v>
      </c>
      <c r="C51" s="134" t="str">
        <f>Worksheet!K$11</f>
        <v>Accepted</v>
      </c>
      <c r="D51" s="134"/>
      <c r="E51" s="134"/>
      <c r="F51" s="134"/>
    </row>
    <row r="53" spans="1:10" ht="3.95" customHeight="1" x14ac:dyDescent="0.2">
      <c r="A53" s="49"/>
      <c r="B53" s="49"/>
      <c r="C53" s="49"/>
      <c r="D53" s="49"/>
      <c r="E53" s="49"/>
      <c r="F53" s="49"/>
      <c r="G53" s="49"/>
      <c r="H53" s="49"/>
      <c r="I53" s="49"/>
      <c r="J53" s="49"/>
    </row>
    <row r="54" spans="1:10" ht="12.75" customHeight="1" x14ac:dyDescent="0.2"/>
    <row r="55" spans="1:10" ht="15.75" x14ac:dyDescent="0.25">
      <c r="B55" s="19"/>
      <c r="C55" s="19"/>
      <c r="D55" s="19"/>
      <c r="E55" s="135" t="s">
        <v>120</v>
      </c>
      <c r="F55" s="135"/>
      <c r="G55" s="19"/>
      <c r="H55" s="19"/>
      <c r="I55" s="19"/>
    </row>
    <row r="56" spans="1:10" ht="15.75" customHeight="1" x14ac:dyDescent="0.25">
      <c r="B56" s="136" t="s">
        <v>121</v>
      </c>
      <c r="C56" s="136"/>
      <c r="D56" s="136" t="s">
        <v>122</v>
      </c>
      <c r="E56" s="136"/>
      <c r="F56" s="55" t="s">
        <v>123</v>
      </c>
      <c r="G56" s="55" t="s">
        <v>124</v>
      </c>
      <c r="H56" s="136" t="s">
        <v>125</v>
      </c>
      <c r="I56" s="136"/>
    </row>
    <row r="57" spans="1:10" ht="15.75" x14ac:dyDescent="0.25">
      <c r="B57" s="124" t="str">
        <f>IF(Worksheet!J$3="","",Worksheet!J$3)</f>
        <v>Additel</v>
      </c>
      <c r="C57" s="124"/>
      <c r="D57" s="127">
        <f>IF(Worksheet!L$3="","",Worksheet!L$3)</f>
        <v>6851022030037</v>
      </c>
      <c r="E57" s="128"/>
      <c r="F57" s="56">
        <f>IF(Worksheet!N$3="","",Worksheet!N$3)</f>
        <v>45474</v>
      </c>
      <c r="G57" s="56">
        <f>IF(Worksheet!P$3="","",Worksheet!P$3)</f>
        <v>45839</v>
      </c>
      <c r="H57" s="125" t="str">
        <f>IF(Worksheet!R$3="","",Worksheet!R$3)</f>
        <v>56561-060578</v>
      </c>
      <c r="I57" s="126"/>
    </row>
    <row r="58" spans="1:10" ht="15.75" x14ac:dyDescent="0.25">
      <c r="B58" s="124" t="str">
        <f>IF(Worksheet!J$4="","",Worksheet!J$4)</f>
        <v/>
      </c>
      <c r="C58" s="124"/>
      <c r="D58" s="125" t="str">
        <f>IF(Worksheet!L$4="","",Worksheet!L$4)</f>
        <v/>
      </c>
      <c r="E58" s="126"/>
      <c r="F58" s="56" t="str">
        <f>IF(Worksheet!N$4="","",Worksheet!N$4)</f>
        <v/>
      </c>
      <c r="G58" s="56" t="str">
        <f>IF(Worksheet!P$4="","",Worksheet!P$4)</f>
        <v/>
      </c>
      <c r="H58" s="125" t="str">
        <f>IF(Worksheet!R$4="","",Worksheet!R$4)</f>
        <v/>
      </c>
      <c r="I58" s="126"/>
    </row>
    <row r="59" spans="1:10" ht="15.75" x14ac:dyDescent="0.25">
      <c r="B59" s="124" t="str">
        <f>IF(Worksheet!J$5="","",Worksheet!J$5)</f>
        <v/>
      </c>
      <c r="C59" s="124"/>
      <c r="D59" s="125" t="str">
        <f>IF(Worksheet!L$5="","",Worksheet!L$5)</f>
        <v/>
      </c>
      <c r="E59" s="126"/>
      <c r="F59" s="56" t="str">
        <f>IF(Worksheet!N$5="","",Worksheet!N$5)</f>
        <v/>
      </c>
      <c r="G59" s="56" t="str">
        <f>IF(Worksheet!P$5="","",Worksheet!P$5)</f>
        <v/>
      </c>
      <c r="H59" s="125" t="str">
        <f>IF(Worksheet!R$5="","",Worksheet!R$5)</f>
        <v/>
      </c>
      <c r="I59" s="126"/>
    </row>
    <row r="60" spans="1:10" ht="8.1" customHeight="1" x14ac:dyDescent="0.25">
      <c r="B60" s="76"/>
      <c r="C60" s="76"/>
      <c r="D60" s="76"/>
      <c r="E60" s="76"/>
      <c r="F60" s="77"/>
      <c r="G60" s="77"/>
      <c r="H60" s="76"/>
      <c r="I60" s="76"/>
    </row>
    <row r="61" spans="1:10" ht="15.75" customHeight="1" x14ac:dyDescent="0.25">
      <c r="B61" s="76"/>
      <c r="C61" s="76"/>
      <c r="D61" s="23"/>
      <c r="E61" s="76"/>
      <c r="F61" s="77"/>
      <c r="G61" s="77"/>
      <c r="H61" s="76"/>
      <c r="I61" s="76"/>
    </row>
    <row r="62" spans="1:10" ht="28.5" customHeight="1" x14ac:dyDescent="0.45">
      <c r="A62" s="120" t="s">
        <v>58</v>
      </c>
      <c r="B62" s="120"/>
      <c r="C62" s="120"/>
      <c r="D62" s="120"/>
      <c r="E62" s="120"/>
      <c r="F62" s="120"/>
      <c r="G62" s="120"/>
      <c r="H62" s="120"/>
      <c r="I62" s="120"/>
      <c r="J62" s="120"/>
    </row>
    <row r="63" spans="1:10" ht="18.75" customHeight="1" x14ac:dyDescent="0.3">
      <c r="A63" s="121" t="s">
        <v>59</v>
      </c>
      <c r="B63" s="121"/>
      <c r="C63" s="121"/>
      <c r="D63" s="121"/>
      <c r="E63" s="121"/>
      <c r="F63" s="121"/>
      <c r="G63" s="121"/>
      <c r="H63" s="121"/>
      <c r="I63" s="121"/>
      <c r="J63" s="121"/>
    </row>
    <row r="64" spans="1:10" ht="18.75" x14ac:dyDescent="0.3">
      <c r="A64" s="121" t="s">
        <v>60</v>
      </c>
      <c r="B64" s="121"/>
      <c r="C64" s="121"/>
      <c r="D64" s="121"/>
      <c r="E64" s="121"/>
      <c r="F64" s="121"/>
      <c r="G64" s="121"/>
      <c r="H64" s="121"/>
      <c r="I64" s="121"/>
      <c r="J64" s="121"/>
    </row>
    <row r="65" spans="1:10" ht="12.75" customHeight="1" x14ac:dyDescent="0.2">
      <c r="B65" s="18"/>
    </row>
    <row r="66" spans="1:10" ht="23.25" x14ac:dyDescent="0.35">
      <c r="A66" s="122" t="s">
        <v>143</v>
      </c>
      <c r="B66" s="122"/>
      <c r="C66" s="122"/>
      <c r="D66" s="122"/>
      <c r="E66" s="122"/>
      <c r="F66" s="122"/>
      <c r="G66" s="122"/>
      <c r="H66" s="122"/>
      <c r="I66" s="122"/>
      <c r="J66" s="122"/>
    </row>
    <row r="67" spans="1:10" ht="9.9499999999999993" customHeight="1" x14ac:dyDescent="0.3">
      <c r="A67" s="45"/>
      <c r="B67" s="45"/>
      <c r="C67" s="45"/>
      <c r="D67" s="45"/>
      <c r="E67" s="45"/>
      <c r="F67" s="45"/>
      <c r="G67" s="45"/>
      <c r="H67" s="45"/>
      <c r="I67" s="45"/>
      <c r="J67" s="45"/>
    </row>
    <row r="68" spans="1:10" ht="18.75" x14ac:dyDescent="0.3">
      <c r="A68" s="19"/>
      <c r="B68" s="20"/>
      <c r="C68" s="19"/>
      <c r="D68" s="27"/>
      <c r="E68" s="28" t="s">
        <v>150</v>
      </c>
      <c r="F68" s="27"/>
      <c r="G68" s="19" t="s">
        <v>128</v>
      </c>
      <c r="H68" s="19" t="s">
        <v>127</v>
      </c>
      <c r="J68" s="19"/>
    </row>
    <row r="69" spans="1:10" ht="18.75" x14ac:dyDescent="0.3">
      <c r="A69" s="19"/>
      <c r="B69" s="25" t="s">
        <v>61</v>
      </c>
      <c r="C69" s="26" t="str">
        <f>Worksheet!B$1</f>
        <v>J10325</v>
      </c>
      <c r="D69" s="27"/>
      <c r="E69" s="27"/>
      <c r="F69" s="27"/>
      <c r="G69" s="27"/>
      <c r="H69" s="27"/>
      <c r="I69" s="27"/>
      <c r="J69" s="27"/>
    </row>
    <row r="70" spans="1:10" ht="18.75" x14ac:dyDescent="0.3">
      <c r="A70" s="19"/>
      <c r="B70" s="25" t="s">
        <v>62</v>
      </c>
      <c r="C70" s="26" t="str">
        <f>Worksheet!B$2</f>
        <v>Johnson Gage and Inspection, Inc.</v>
      </c>
      <c r="D70" s="27"/>
      <c r="E70" s="27"/>
      <c r="F70" s="27"/>
      <c r="H70" s="37"/>
      <c r="I70" s="37"/>
      <c r="J70" s="27"/>
    </row>
    <row r="71" spans="1:10" ht="18.75" x14ac:dyDescent="0.3">
      <c r="A71" s="19"/>
      <c r="B71" s="25"/>
      <c r="C71" s="26"/>
      <c r="D71" s="27"/>
      <c r="E71" s="27"/>
      <c r="F71" s="27"/>
      <c r="I71" s="52"/>
      <c r="J71" s="41"/>
    </row>
    <row r="72" spans="1:10" ht="18.75" x14ac:dyDescent="0.3">
      <c r="A72" s="19"/>
      <c r="B72" s="25" t="s">
        <v>73</v>
      </c>
      <c r="C72" s="26" t="str">
        <f>Worksheet!$B$3</f>
        <v>Data Acquisition System</v>
      </c>
      <c r="D72" s="27"/>
      <c r="E72" s="27"/>
      <c r="F72" s="27"/>
      <c r="G72" s="25" t="s">
        <v>63</v>
      </c>
      <c r="H72" s="52" t="str">
        <f>Worksheet!G$1</f>
        <v>Kevin Ferrante</v>
      </c>
      <c r="I72" s="53"/>
      <c r="J72" s="41"/>
    </row>
    <row r="73" spans="1:10" ht="18.75" x14ac:dyDescent="0.3">
      <c r="A73" s="19"/>
      <c r="B73" s="25" t="s">
        <v>74</v>
      </c>
      <c r="C73" s="26" t="str">
        <f>Worksheet!B$4</f>
        <v>J1</v>
      </c>
      <c r="D73" s="27"/>
      <c r="E73" s="27"/>
      <c r="F73" s="27"/>
      <c r="G73" s="25" t="s">
        <v>64</v>
      </c>
      <c r="H73" s="39">
        <f>Worksheet!G$2</f>
        <v>45747</v>
      </c>
      <c r="I73" s="40"/>
      <c r="J73" s="42"/>
    </row>
    <row r="74" spans="1:10" ht="18.75" x14ac:dyDescent="0.3">
      <c r="A74" s="19"/>
      <c r="B74" s="25" t="s">
        <v>68</v>
      </c>
      <c r="C74" s="26" t="str">
        <f>Worksheet!B$5</f>
        <v>DaqBook/2005</v>
      </c>
      <c r="D74" s="27"/>
      <c r="E74" s="27"/>
      <c r="F74" s="27"/>
      <c r="G74" s="25" t="s">
        <v>65</v>
      </c>
      <c r="H74" s="39">
        <f>Worksheet!G$3</f>
        <v>45838</v>
      </c>
      <c r="I74" s="44"/>
      <c r="J74" s="44"/>
    </row>
    <row r="75" spans="1:10" ht="18.75" x14ac:dyDescent="0.3">
      <c r="A75" s="19"/>
      <c r="B75" s="25" t="s">
        <v>69</v>
      </c>
      <c r="C75" s="26">
        <f>Worksheet!B$6</f>
        <v>807408</v>
      </c>
      <c r="D75" s="27"/>
      <c r="E75" s="27"/>
      <c r="F75" s="27"/>
      <c r="G75" s="25" t="s">
        <v>66</v>
      </c>
      <c r="H75" s="40">
        <f>Worksheet!G$4</f>
        <v>73</v>
      </c>
      <c r="I75" s="29"/>
      <c r="J75" s="29"/>
    </row>
    <row r="76" spans="1:10" ht="18.75" x14ac:dyDescent="0.3">
      <c r="A76" s="19"/>
      <c r="B76" s="25" t="s">
        <v>75</v>
      </c>
      <c r="C76" s="26" t="str">
        <f>Worksheet!B$7</f>
        <v>Pyrometry</v>
      </c>
      <c r="D76" s="27"/>
      <c r="E76" s="27"/>
      <c r="F76" s="27"/>
      <c r="G76" s="25" t="s">
        <v>67</v>
      </c>
      <c r="H76" s="43">
        <f>Worksheet!G$5</f>
        <v>29</v>
      </c>
      <c r="I76" s="29"/>
      <c r="J76" s="29"/>
    </row>
    <row r="77" spans="1:10" ht="3.95" customHeight="1" x14ac:dyDescent="0.25">
      <c r="A77" s="21"/>
      <c r="B77" s="22"/>
      <c r="C77" s="21"/>
      <c r="D77" s="21"/>
      <c r="E77" s="21"/>
      <c r="F77" s="21"/>
      <c r="G77" s="21"/>
      <c r="H77" s="21"/>
      <c r="I77" s="21"/>
      <c r="J77" s="21"/>
    </row>
    <row r="78" spans="1:10" ht="15.75" customHeight="1" x14ac:dyDescent="0.25">
      <c r="A78" s="19"/>
      <c r="B78" s="20" t="s">
        <v>87</v>
      </c>
      <c r="C78" s="131" t="str">
        <f>Worksheet!B$8</f>
        <v>-100°F / +1000°F</v>
      </c>
      <c r="D78" s="131"/>
      <c r="E78" s="131"/>
      <c r="F78" s="19"/>
      <c r="G78" s="20" t="s">
        <v>71</v>
      </c>
      <c r="H78" s="131" t="str">
        <f>Worksheet!G$8</f>
        <v>AMS 2750H</v>
      </c>
      <c r="I78" s="131"/>
      <c r="J78" s="131"/>
    </row>
    <row r="79" spans="1:10" ht="15.75" x14ac:dyDescent="0.25">
      <c r="A79" s="19"/>
      <c r="B79" s="20" t="s">
        <v>85</v>
      </c>
      <c r="C79" s="131" t="str">
        <f>Worksheet!B$9</f>
        <v>0.1°F</v>
      </c>
      <c r="D79" s="131"/>
      <c r="E79" s="131"/>
      <c r="F79" s="19"/>
      <c r="G79" s="20" t="s">
        <v>72</v>
      </c>
      <c r="H79" s="131" t="str">
        <f>Worksheet!G$9</f>
        <v>Specification</v>
      </c>
      <c r="I79" s="131"/>
      <c r="J79" s="131"/>
    </row>
    <row r="80" spans="1:10" ht="15.75" x14ac:dyDescent="0.25">
      <c r="A80" s="19"/>
      <c r="B80" s="20" t="s">
        <v>70</v>
      </c>
      <c r="C80" s="131" t="str">
        <f>Worksheet!B$10</f>
        <v>Greater of ±1.0°F or ±0.1% Rdg</v>
      </c>
      <c r="D80" s="131"/>
      <c r="E80" s="131"/>
      <c r="F80" s="19"/>
      <c r="G80" s="20" t="s">
        <v>113</v>
      </c>
      <c r="H80" s="131" t="str">
        <f>Worksheet!G$10</f>
        <v>Used</v>
      </c>
      <c r="I80" s="131"/>
      <c r="J80" s="131"/>
    </row>
    <row r="81" spans="1:14" ht="3.95" customHeight="1" x14ac:dyDescent="0.25">
      <c r="A81" s="21"/>
      <c r="B81" s="22"/>
      <c r="C81" s="21"/>
      <c r="D81" s="21"/>
      <c r="E81" s="21"/>
      <c r="F81" s="21"/>
      <c r="G81" s="21"/>
      <c r="H81" s="21"/>
      <c r="I81" s="21"/>
      <c r="J81" s="21"/>
    </row>
    <row r="82" spans="1:14" ht="18.75" x14ac:dyDescent="0.3">
      <c r="B82" s="35" t="s">
        <v>79</v>
      </c>
      <c r="C82" s="132" t="s">
        <v>80</v>
      </c>
      <c r="D82" s="132"/>
      <c r="E82" s="132"/>
      <c r="F82" s="132"/>
      <c r="G82" s="132"/>
      <c r="H82" s="132"/>
      <c r="I82" s="34" t="s">
        <v>109</v>
      </c>
      <c r="J82" s="47"/>
    </row>
    <row r="83" spans="1:14" ht="18.75" x14ac:dyDescent="0.3">
      <c r="B83" s="35" t="s">
        <v>0</v>
      </c>
      <c r="C83" s="36" t="str">
        <f>IF(Worksheet!B$45="","",Worksheet!B$45)</f>
        <v>TYPE "J"</v>
      </c>
      <c r="D83" s="36" t="str">
        <f>IF(Worksheet!C$45="","",Worksheet!C$45)</f>
        <v>TYPE "J"</v>
      </c>
      <c r="E83" s="36" t="str">
        <f>IF(Worksheet!D$45="","",Worksheet!D$45)</f>
        <v>TYPE "J"</v>
      </c>
      <c r="F83" s="36" t="str">
        <f>IF(Worksheet!E$45="","",Worksheet!E$45)</f>
        <v>TYPE "J"</v>
      </c>
      <c r="G83" s="36" t="str">
        <f>IF(Worksheet!F$45="","",Worksheet!F$45)</f>
        <v>TYPE "J"</v>
      </c>
      <c r="H83" s="36" t="str">
        <f>IF(Worksheet!G$45="","",Worksheet!G$45)</f>
        <v>TYPE "J"</v>
      </c>
      <c r="I83" s="48" t="s">
        <v>110</v>
      </c>
      <c r="J83" s="37"/>
    </row>
    <row r="84" spans="1:14" ht="18.75" x14ac:dyDescent="0.3">
      <c r="B84" s="37"/>
      <c r="C84" s="46" t="str">
        <f>IF(Worksheet!B64="","",Worksheet!B64)</f>
        <v>POINT #13</v>
      </c>
      <c r="D84" s="46" t="str">
        <f>IF(Worksheet!C64="","",Worksheet!C64)</f>
        <v>POINT #14</v>
      </c>
      <c r="E84" s="46" t="str">
        <f>IF(Worksheet!D64="","",Worksheet!D64)</f>
        <v>POINT #15</v>
      </c>
      <c r="F84" s="46" t="str">
        <f>IF(Worksheet!E64="","",Worksheet!E64)</f>
        <v>POINT #16</v>
      </c>
      <c r="G84" s="46" t="str">
        <f>IF(Worksheet!F64="","",Worksheet!F64)</f>
        <v>POINT #17</v>
      </c>
      <c r="H84" s="46" t="str">
        <f>IF(Worksheet!G64="","",Worksheet!G64)</f>
        <v>POINT #18</v>
      </c>
      <c r="I84" s="37"/>
      <c r="J84" s="37"/>
    </row>
    <row r="85" spans="1:14" ht="18.75" x14ac:dyDescent="0.3">
      <c r="B85" s="38">
        <f>IF(Worksheet!A65="","",Worksheet!A65)</f>
        <v>-100</v>
      </c>
      <c r="C85" s="38">
        <f>IF(Worksheet!B65="","",Worksheet!B65)</f>
        <v>-100</v>
      </c>
      <c r="D85" s="38">
        <f>IF(Worksheet!C65="","",Worksheet!C65)</f>
        <v>-100.1</v>
      </c>
      <c r="E85" s="38">
        <f>IF(Worksheet!D65="","",Worksheet!D65)</f>
        <v>-100.1</v>
      </c>
      <c r="F85" s="38">
        <f>IF(Worksheet!E65="","",Worksheet!E65)</f>
        <v>-100</v>
      </c>
      <c r="G85" s="38">
        <f>IF(Worksheet!F65="","",Worksheet!F65)</f>
        <v>-100.2</v>
      </c>
      <c r="H85" s="38">
        <f>IF(Worksheet!G65="","",Worksheet!G65)</f>
        <v>-99.8</v>
      </c>
      <c r="I85" s="63">
        <f t="shared" ref="I85:I90" si="8">IF(B85="","",MAX(L85,M85,N85))</f>
        <v>0.19</v>
      </c>
      <c r="J85" s="37"/>
      <c r="L85">
        <f t="shared" ref="L85:L90" si="9">IF(B85&lt;500.1,L$3,0)</f>
        <v>0.19</v>
      </c>
      <c r="M85">
        <f t="shared" ref="M85:M90" si="10">IF(AND(B85&gt;500,B85&lt;1350.1),M$3,0)</f>
        <v>0</v>
      </c>
      <c r="N85">
        <f t="shared" ref="N85:N90" si="11">IF(B85&gt;1350,N$3,0)</f>
        <v>0</v>
      </c>
    </row>
    <row r="86" spans="1:14" ht="18.75" x14ac:dyDescent="0.3">
      <c r="B86" s="38">
        <f>IF(Worksheet!A66="","",Worksheet!A66)</f>
        <v>-50</v>
      </c>
      <c r="C86" s="38">
        <f>IF(Worksheet!B66="","",Worksheet!B66)</f>
        <v>-50.1</v>
      </c>
      <c r="D86" s="38">
        <f>IF(Worksheet!C66="","",Worksheet!C66)</f>
        <v>-50.1</v>
      </c>
      <c r="E86" s="38">
        <f>IF(Worksheet!D66="","",Worksheet!D66)</f>
        <v>-50.1</v>
      </c>
      <c r="F86" s="38">
        <f>IF(Worksheet!E66="","",Worksheet!E66)</f>
        <v>-49.9</v>
      </c>
      <c r="G86" s="38">
        <f>IF(Worksheet!F66="","",Worksheet!F66)</f>
        <v>-49.9</v>
      </c>
      <c r="H86" s="38">
        <f>IF(Worksheet!G66="","",Worksheet!G66)</f>
        <v>-49.9</v>
      </c>
      <c r="I86" s="63">
        <f t="shared" si="8"/>
        <v>0.19</v>
      </c>
      <c r="J86" s="37"/>
      <c r="L86">
        <f t="shared" si="9"/>
        <v>0.19</v>
      </c>
      <c r="M86">
        <f t="shared" si="10"/>
        <v>0</v>
      </c>
      <c r="N86">
        <f t="shared" si="11"/>
        <v>0</v>
      </c>
    </row>
    <row r="87" spans="1:14" ht="18.75" x14ac:dyDescent="0.3">
      <c r="B87" s="38">
        <f>IF(Worksheet!A67="","",Worksheet!A67)</f>
        <v>0</v>
      </c>
      <c r="C87" s="38">
        <f>IF(Worksheet!B67="","",Worksheet!B67)</f>
        <v>0.1</v>
      </c>
      <c r="D87" s="38">
        <f>IF(Worksheet!C67="","",Worksheet!C67)</f>
        <v>-0.2</v>
      </c>
      <c r="E87" s="38">
        <f>IF(Worksheet!D67="","",Worksheet!D67)</f>
        <v>-0.2</v>
      </c>
      <c r="F87" s="38">
        <f>IF(Worksheet!E67="","",Worksheet!E67)</f>
        <v>0.1</v>
      </c>
      <c r="G87" s="38">
        <f>IF(Worksheet!F67="","",Worksheet!F67)</f>
        <v>-0.1</v>
      </c>
      <c r="H87" s="38">
        <f>IF(Worksheet!G67="","",Worksheet!G67)</f>
        <v>0.1</v>
      </c>
      <c r="I87" s="63">
        <f t="shared" si="8"/>
        <v>0.19</v>
      </c>
      <c r="J87" s="37"/>
      <c r="L87">
        <f t="shared" si="9"/>
        <v>0.19</v>
      </c>
      <c r="M87">
        <f t="shared" si="10"/>
        <v>0</v>
      </c>
      <c r="N87">
        <f t="shared" si="11"/>
        <v>0</v>
      </c>
    </row>
    <row r="88" spans="1:14" ht="18.75" x14ac:dyDescent="0.3">
      <c r="B88" s="38">
        <f>IF(Worksheet!A68="","",Worksheet!A68)</f>
        <v>250</v>
      </c>
      <c r="C88" s="38">
        <f>IF(Worksheet!B68="","",Worksheet!B68)</f>
        <v>250.1</v>
      </c>
      <c r="D88" s="38">
        <f>IF(Worksheet!C68="","",Worksheet!C68)</f>
        <v>249.8</v>
      </c>
      <c r="E88" s="38">
        <f>IF(Worksheet!D68="","",Worksheet!D68)</f>
        <v>249.8</v>
      </c>
      <c r="F88" s="38">
        <f>IF(Worksheet!E68="","",Worksheet!E68)</f>
        <v>250.2</v>
      </c>
      <c r="G88" s="38">
        <f>IF(Worksheet!F68="","",Worksheet!F68)</f>
        <v>250</v>
      </c>
      <c r="H88" s="38">
        <f>IF(Worksheet!G68="","",Worksheet!G68)</f>
        <v>250.1</v>
      </c>
      <c r="I88" s="63">
        <f t="shared" si="8"/>
        <v>0.19</v>
      </c>
      <c r="J88" s="37"/>
      <c r="L88">
        <f t="shared" si="9"/>
        <v>0.19</v>
      </c>
      <c r="M88">
        <f t="shared" si="10"/>
        <v>0</v>
      </c>
      <c r="N88">
        <f t="shared" si="11"/>
        <v>0</v>
      </c>
    </row>
    <row r="89" spans="1:14" ht="18.75" x14ac:dyDescent="0.3">
      <c r="B89" s="38">
        <f>IF(Worksheet!A69="","",Worksheet!A69)</f>
        <v>500</v>
      </c>
      <c r="C89" s="38">
        <f>IF(Worksheet!B69="","",Worksheet!B69)</f>
        <v>500.1</v>
      </c>
      <c r="D89" s="38">
        <f>IF(Worksheet!C69="","",Worksheet!C69)</f>
        <v>499.8</v>
      </c>
      <c r="E89" s="38">
        <f>IF(Worksheet!D69="","",Worksheet!D69)</f>
        <v>499.7</v>
      </c>
      <c r="F89" s="38">
        <f>IF(Worksheet!E69="","",Worksheet!E69)</f>
        <v>500.1</v>
      </c>
      <c r="G89" s="38">
        <f>IF(Worksheet!F69="","",Worksheet!F69)</f>
        <v>500</v>
      </c>
      <c r="H89" s="38">
        <f>IF(Worksheet!G69="","",Worksheet!G69)</f>
        <v>500.1</v>
      </c>
      <c r="I89" s="63">
        <f t="shared" si="8"/>
        <v>0.19</v>
      </c>
      <c r="J89" s="37"/>
      <c r="L89">
        <f t="shared" si="9"/>
        <v>0.19</v>
      </c>
      <c r="M89">
        <f t="shared" si="10"/>
        <v>0</v>
      </c>
      <c r="N89">
        <f t="shared" si="11"/>
        <v>0</v>
      </c>
    </row>
    <row r="90" spans="1:14" ht="18.75" x14ac:dyDescent="0.3">
      <c r="B90" s="38">
        <f>IF(Worksheet!A70="","",Worksheet!A70)</f>
        <v>1000</v>
      </c>
      <c r="C90" s="38">
        <f>IF(Worksheet!B70="","",Worksheet!B70)</f>
        <v>1000.1</v>
      </c>
      <c r="D90" s="38">
        <f>IF(Worksheet!C70="","",Worksheet!C70)</f>
        <v>999.8</v>
      </c>
      <c r="E90" s="38">
        <f>IF(Worksheet!D70="","",Worksheet!D70)</f>
        <v>999.7</v>
      </c>
      <c r="F90" s="38">
        <f>IF(Worksheet!E70="","",Worksheet!E70)</f>
        <v>1000.1</v>
      </c>
      <c r="G90" s="38">
        <f>IF(Worksheet!F70="","",Worksheet!F70)</f>
        <v>1000</v>
      </c>
      <c r="H90" s="38">
        <f>IF(Worksheet!G70="","",Worksheet!G70)</f>
        <v>1000.1</v>
      </c>
      <c r="I90" s="63">
        <f t="shared" si="8"/>
        <v>0.28999999999999998</v>
      </c>
      <c r="J90" s="37"/>
      <c r="L90">
        <f t="shared" si="9"/>
        <v>0</v>
      </c>
      <c r="M90">
        <f t="shared" si="10"/>
        <v>0.28999999999999998</v>
      </c>
      <c r="N90">
        <f t="shared" si="11"/>
        <v>0</v>
      </c>
    </row>
    <row r="91" spans="1:14" ht="9.9499999999999993" customHeight="1" x14ac:dyDescent="0.3">
      <c r="B91" s="37"/>
      <c r="C91" s="37"/>
      <c r="D91" s="37"/>
      <c r="E91" s="37"/>
      <c r="F91" s="37"/>
      <c r="G91" s="37"/>
      <c r="H91" s="37"/>
      <c r="I91" s="37"/>
      <c r="J91" s="37"/>
    </row>
    <row r="92" spans="1:14" ht="18.75" x14ac:dyDescent="0.3">
      <c r="B92" s="38" t="str">
        <f>IF(Worksheet!A72="","",Worksheet!A72)</f>
        <v/>
      </c>
      <c r="C92" s="64" t="str">
        <f>IF(Worksheet!B72="","",Worksheet!B72)</f>
        <v>POINT #19</v>
      </c>
      <c r="D92" s="64" t="str">
        <f>IF(Worksheet!C72="","",Worksheet!C72)</f>
        <v>POINT#20</v>
      </c>
      <c r="E92" s="64" t="str">
        <f>IF(Worksheet!D72="","",Worksheet!D72)</f>
        <v>POINT #21</v>
      </c>
      <c r="F92" s="64" t="str">
        <f>IF(Worksheet!E72="","",Worksheet!E72)</f>
        <v>POINT #22</v>
      </c>
      <c r="G92" s="64" t="str">
        <f>IF(Worksheet!F72="","",Worksheet!F72)</f>
        <v>POINT #23</v>
      </c>
      <c r="H92" s="64" t="str">
        <f>IF(Worksheet!G72="","",Worksheet!G72)</f>
        <v>POINT #24</v>
      </c>
      <c r="I92" s="37"/>
      <c r="J92" s="37"/>
    </row>
    <row r="93" spans="1:14" ht="18.75" x14ac:dyDescent="0.3">
      <c r="B93" s="38">
        <f>IF(Worksheet!A73="","",Worksheet!A73)</f>
        <v>-100</v>
      </c>
      <c r="C93" s="38">
        <f>IF(Worksheet!B73="","",Worksheet!B73)</f>
        <v>-100.1</v>
      </c>
      <c r="D93" s="38">
        <f>IF(Worksheet!C73="","",Worksheet!C73)</f>
        <v>-100.1</v>
      </c>
      <c r="E93" s="38">
        <f>IF(Worksheet!D73="","",Worksheet!D73)</f>
        <v>-100.1</v>
      </c>
      <c r="F93" s="38">
        <f>IF(Worksheet!E73="","",Worksheet!E73)</f>
        <v>-100</v>
      </c>
      <c r="G93" s="38">
        <f>IF(Worksheet!F73="","",Worksheet!F73)</f>
        <v>-100.2</v>
      </c>
      <c r="H93" s="38">
        <f>IF(Worksheet!G73="","",Worksheet!G73)</f>
        <v>-99.8</v>
      </c>
      <c r="I93" s="63">
        <f t="shared" ref="I93:I98" si="12">IF(B93="","",MAX(L93,M93,N93))</f>
        <v>0.19</v>
      </c>
      <c r="J93" s="37"/>
      <c r="L93">
        <f t="shared" ref="L93:L98" si="13">IF(B93&lt;500.1,L$3,0)</f>
        <v>0.19</v>
      </c>
      <c r="M93">
        <f t="shared" ref="M93:M98" si="14">IF(AND(B93&gt;500,B93&lt;1350.1),M$3,0)</f>
        <v>0</v>
      </c>
      <c r="N93">
        <f t="shared" ref="N93:N98" si="15">IF(B93&gt;1350,N$3,0)</f>
        <v>0</v>
      </c>
    </row>
    <row r="94" spans="1:14" ht="18.75" x14ac:dyDescent="0.3">
      <c r="B94" s="38">
        <f>IF(Worksheet!A74="","",Worksheet!A74)</f>
        <v>-50</v>
      </c>
      <c r="C94" s="38">
        <f>IF(Worksheet!B74="","",Worksheet!B74)</f>
        <v>-49.9</v>
      </c>
      <c r="D94" s="38">
        <f>IF(Worksheet!C74="","",Worksheet!C74)</f>
        <v>-50.1</v>
      </c>
      <c r="E94" s="38">
        <f>IF(Worksheet!D74="","",Worksheet!D74)</f>
        <v>-49.9</v>
      </c>
      <c r="F94" s="38">
        <f>IF(Worksheet!E74="","",Worksheet!E74)</f>
        <v>-49.9</v>
      </c>
      <c r="G94" s="38">
        <f>IF(Worksheet!F74="","",Worksheet!F74)</f>
        <v>-50.2</v>
      </c>
      <c r="H94" s="38">
        <f>IF(Worksheet!G74="","",Worksheet!G74)</f>
        <v>-49.8</v>
      </c>
      <c r="I94" s="63">
        <f t="shared" si="12"/>
        <v>0.19</v>
      </c>
      <c r="J94" s="37"/>
      <c r="L94">
        <f t="shared" si="13"/>
        <v>0.19</v>
      </c>
      <c r="M94">
        <f t="shared" si="14"/>
        <v>0</v>
      </c>
      <c r="N94">
        <f t="shared" si="15"/>
        <v>0</v>
      </c>
    </row>
    <row r="95" spans="1:14" ht="18.75" x14ac:dyDescent="0.3">
      <c r="B95" s="38">
        <f>IF(Worksheet!A75="","",Worksheet!A75)</f>
        <v>0</v>
      </c>
      <c r="C95" s="38">
        <f>IF(Worksheet!B75="","",Worksheet!B75)</f>
        <v>0</v>
      </c>
      <c r="D95" s="38">
        <f>IF(Worksheet!C75="","",Worksheet!C75)</f>
        <v>-0.1</v>
      </c>
      <c r="E95" s="38">
        <f>IF(Worksheet!D75="","",Worksheet!D75)</f>
        <v>0</v>
      </c>
      <c r="F95" s="38">
        <f>IF(Worksheet!E75="","",Worksheet!E75)</f>
        <v>0.1</v>
      </c>
      <c r="G95" s="38">
        <f>IF(Worksheet!F75="","",Worksheet!F75)</f>
        <v>-0.1</v>
      </c>
      <c r="H95" s="38">
        <f>IF(Worksheet!G75="","",Worksheet!G75)</f>
        <v>0</v>
      </c>
      <c r="I95" s="63">
        <f t="shared" si="12"/>
        <v>0.19</v>
      </c>
      <c r="J95" s="37"/>
      <c r="L95">
        <f t="shared" si="13"/>
        <v>0.19</v>
      </c>
      <c r="M95">
        <f t="shared" si="14"/>
        <v>0</v>
      </c>
      <c r="N95">
        <f t="shared" si="15"/>
        <v>0</v>
      </c>
    </row>
    <row r="96" spans="1:14" ht="18.75" x14ac:dyDescent="0.3">
      <c r="B96" s="38">
        <f>IF(Worksheet!A76="","",Worksheet!A76)</f>
        <v>250</v>
      </c>
      <c r="C96" s="38">
        <f>IF(Worksheet!B76="","",Worksheet!B76)</f>
        <v>250</v>
      </c>
      <c r="D96" s="38">
        <f>IF(Worksheet!C76="","",Worksheet!C76)</f>
        <v>249.9</v>
      </c>
      <c r="E96" s="38">
        <f>IF(Worksheet!D76="","",Worksheet!D76)</f>
        <v>250.1</v>
      </c>
      <c r="F96" s="38">
        <f>IF(Worksheet!E76="","",Worksheet!E76)</f>
        <v>250.1</v>
      </c>
      <c r="G96" s="38">
        <f>IF(Worksheet!F76="","",Worksheet!F76)</f>
        <v>249.9</v>
      </c>
      <c r="H96" s="38">
        <f>IF(Worksheet!G76="","",Worksheet!G76)</f>
        <v>250.1</v>
      </c>
      <c r="I96" s="63">
        <f t="shared" si="12"/>
        <v>0.19</v>
      </c>
      <c r="J96" s="37"/>
      <c r="L96">
        <f t="shared" si="13"/>
        <v>0.19</v>
      </c>
      <c r="M96">
        <f t="shared" si="14"/>
        <v>0</v>
      </c>
      <c r="N96">
        <f t="shared" si="15"/>
        <v>0</v>
      </c>
    </row>
    <row r="97" spans="1:14" ht="18.75" x14ac:dyDescent="0.3">
      <c r="B97" s="38">
        <f>IF(Worksheet!A77="","",Worksheet!A77)</f>
        <v>500</v>
      </c>
      <c r="C97" s="38">
        <f>IF(Worksheet!B77="","",Worksheet!B77)</f>
        <v>499.9</v>
      </c>
      <c r="D97" s="38">
        <f>IF(Worksheet!C77="","",Worksheet!C77)</f>
        <v>499.8</v>
      </c>
      <c r="E97" s="38">
        <f>IF(Worksheet!D77="","",Worksheet!D77)</f>
        <v>500.1</v>
      </c>
      <c r="F97" s="38">
        <f>IF(Worksheet!E77="","",Worksheet!E77)</f>
        <v>500.1</v>
      </c>
      <c r="G97" s="38">
        <f>IF(Worksheet!F77="","",Worksheet!F77)</f>
        <v>499.9</v>
      </c>
      <c r="H97" s="38">
        <f>IF(Worksheet!G77="","",Worksheet!G77)</f>
        <v>499.9</v>
      </c>
      <c r="I97" s="63">
        <f t="shared" si="12"/>
        <v>0.19</v>
      </c>
      <c r="J97" s="37"/>
      <c r="L97">
        <f t="shared" si="13"/>
        <v>0.19</v>
      </c>
      <c r="M97">
        <f t="shared" si="14"/>
        <v>0</v>
      </c>
      <c r="N97">
        <f t="shared" si="15"/>
        <v>0</v>
      </c>
    </row>
    <row r="98" spans="1:14" ht="18.75" x14ac:dyDescent="0.3">
      <c r="B98" s="38">
        <f>IF(Worksheet!A78="","",Worksheet!A78)</f>
        <v>1000</v>
      </c>
      <c r="C98" s="38">
        <f>IF(Worksheet!B78="","",Worksheet!B78)</f>
        <v>1000</v>
      </c>
      <c r="D98" s="38">
        <f>IF(Worksheet!C78="","",Worksheet!C78)</f>
        <v>999.7</v>
      </c>
      <c r="E98" s="38">
        <f>IF(Worksheet!D78="","",Worksheet!D78)</f>
        <v>1000.2</v>
      </c>
      <c r="F98" s="38">
        <f>IF(Worksheet!E78="","",Worksheet!E78)</f>
        <v>1000.1</v>
      </c>
      <c r="G98" s="38">
        <f>IF(Worksheet!F78="","",Worksheet!F78)</f>
        <v>999.9</v>
      </c>
      <c r="H98" s="38">
        <f>IF(Worksheet!G78="","",Worksheet!G78)</f>
        <v>999.8</v>
      </c>
      <c r="I98" s="63">
        <f t="shared" si="12"/>
        <v>0.28999999999999998</v>
      </c>
      <c r="J98" s="37"/>
      <c r="L98">
        <f t="shared" si="13"/>
        <v>0</v>
      </c>
      <c r="M98">
        <f t="shared" si="14"/>
        <v>0.28999999999999998</v>
      </c>
      <c r="N98">
        <f t="shared" si="15"/>
        <v>0</v>
      </c>
    </row>
    <row r="99" spans="1:14" ht="9.9499999999999993" customHeight="1" x14ac:dyDescent="0.3">
      <c r="B99" s="37"/>
      <c r="C99" s="37"/>
      <c r="D99" s="37"/>
      <c r="E99" s="37"/>
      <c r="F99" s="37"/>
      <c r="G99" s="37"/>
      <c r="H99" s="37"/>
      <c r="I99" s="37"/>
      <c r="J99" s="37"/>
    </row>
    <row r="100" spans="1:14" ht="9.9499999999999993" customHeight="1" x14ac:dyDescent="0.2">
      <c r="A100" s="129" t="s">
        <v>111</v>
      </c>
      <c r="B100" s="129"/>
      <c r="C100" s="129"/>
      <c r="D100" s="129"/>
      <c r="E100" s="129"/>
      <c r="F100" s="129"/>
      <c r="G100" s="129"/>
      <c r="H100" s="129"/>
      <c r="I100" s="129"/>
      <c r="J100" s="129"/>
    </row>
    <row r="101" spans="1:14" ht="3.95" customHeight="1" x14ac:dyDescent="0.3">
      <c r="A101" s="49"/>
      <c r="B101" s="50"/>
      <c r="C101" s="50"/>
      <c r="D101" s="50"/>
      <c r="E101" s="50"/>
      <c r="F101" s="50"/>
      <c r="G101" s="50"/>
      <c r="H101" s="50"/>
      <c r="I101" s="50"/>
      <c r="J101" s="50"/>
    </row>
    <row r="102" spans="1:14" x14ac:dyDescent="0.2">
      <c r="A102" s="130" t="s">
        <v>112</v>
      </c>
      <c r="B102" s="130"/>
      <c r="C102" s="130"/>
      <c r="D102" s="130"/>
      <c r="E102" s="130"/>
      <c r="F102" s="130"/>
      <c r="G102" s="130"/>
      <c r="H102" s="130"/>
      <c r="I102" s="130"/>
      <c r="J102" s="130"/>
    </row>
    <row r="103" spans="1:14" x14ac:dyDescent="0.2">
      <c r="A103" s="130"/>
      <c r="B103" s="130"/>
      <c r="C103" s="130"/>
      <c r="D103" s="130"/>
      <c r="E103" s="130"/>
      <c r="F103" s="130"/>
      <c r="G103" s="130"/>
      <c r="H103" s="130"/>
      <c r="I103" s="130"/>
      <c r="J103" s="130"/>
    </row>
    <row r="104" spans="1:14" x14ac:dyDescent="0.2">
      <c r="A104" s="130"/>
      <c r="B104" s="130"/>
      <c r="C104" s="130"/>
      <c r="D104" s="130"/>
      <c r="E104" s="130"/>
      <c r="F104" s="130"/>
      <c r="G104" s="130"/>
      <c r="H104" s="130"/>
      <c r="I104" s="130"/>
      <c r="J104" s="130"/>
    </row>
    <row r="105" spans="1:14" ht="3.95" customHeight="1" x14ac:dyDescent="0.2">
      <c r="A105" s="49"/>
      <c r="B105" s="51"/>
      <c r="C105" s="51"/>
      <c r="D105" s="51"/>
      <c r="E105" s="51"/>
      <c r="F105" s="51"/>
      <c r="G105" s="51"/>
      <c r="H105" s="51"/>
      <c r="I105" s="51"/>
      <c r="J105" s="51"/>
    </row>
    <row r="106" spans="1:14" ht="18.75" x14ac:dyDescent="0.3">
      <c r="B106" s="37" t="s">
        <v>115</v>
      </c>
    </row>
    <row r="107" spans="1:14" ht="12.75" customHeight="1" x14ac:dyDescent="0.2">
      <c r="B107" s="133" t="str">
        <f>Worksheet!K$8</f>
        <v>Found in tolerance.  No adjustment required.  Above results represent both as found and as left readings.</v>
      </c>
      <c r="C107" s="133"/>
      <c r="D107" s="133"/>
      <c r="E107" s="133"/>
      <c r="F107" s="133"/>
      <c r="G107" s="133"/>
      <c r="H107" s="133"/>
      <c r="I107" s="133"/>
    </row>
    <row r="108" spans="1:14" x14ac:dyDescent="0.2">
      <c r="B108" s="133"/>
      <c r="C108" s="133"/>
      <c r="D108" s="133"/>
      <c r="E108" s="133"/>
      <c r="F108" s="133"/>
      <c r="G108" s="133"/>
      <c r="H108" s="133"/>
      <c r="I108" s="133"/>
    </row>
    <row r="109" spans="1:14" x14ac:dyDescent="0.2">
      <c r="B109" s="133"/>
      <c r="C109" s="133"/>
      <c r="D109" s="133"/>
      <c r="E109" s="133"/>
      <c r="F109" s="133"/>
      <c r="G109" s="133"/>
      <c r="H109" s="133"/>
      <c r="I109" s="133"/>
    </row>
    <row r="110" spans="1:14" x14ac:dyDescent="0.2">
      <c r="B110" s="133"/>
      <c r="C110" s="133"/>
      <c r="D110" s="133"/>
      <c r="E110" s="133"/>
      <c r="F110" s="133"/>
      <c r="G110" s="133"/>
      <c r="H110" s="133"/>
      <c r="I110" s="133"/>
    </row>
    <row r="111" spans="1:14" x14ac:dyDescent="0.2">
      <c r="B111" s="133"/>
      <c r="C111" s="133"/>
      <c r="D111" s="133"/>
      <c r="E111" s="133"/>
      <c r="F111" s="133"/>
      <c r="G111" s="133"/>
      <c r="H111" s="133"/>
      <c r="I111" s="133"/>
    </row>
    <row r="112" spans="1:14" ht="18.75" x14ac:dyDescent="0.3">
      <c r="B112" s="54" t="s">
        <v>118</v>
      </c>
      <c r="C112" s="134" t="str">
        <f>Worksheet!K$11</f>
        <v>Accepted</v>
      </c>
      <c r="D112" s="134"/>
      <c r="E112" s="134"/>
      <c r="F112" s="134"/>
    </row>
    <row r="113" spans="1:10" ht="12.75" customHeight="1" x14ac:dyDescent="0.2"/>
    <row r="114" spans="1:10" ht="3.95" customHeight="1" x14ac:dyDescent="0.2">
      <c r="A114" s="49"/>
      <c r="B114" s="49"/>
      <c r="C114" s="49"/>
      <c r="D114" s="49"/>
      <c r="E114" s="49"/>
      <c r="F114" s="49"/>
      <c r="G114" s="49"/>
      <c r="H114" s="49"/>
      <c r="I114" s="49"/>
      <c r="J114" s="49"/>
    </row>
    <row r="115" spans="1:10" ht="12.75" customHeight="1" x14ac:dyDescent="0.2"/>
    <row r="116" spans="1:10" ht="15.75" x14ac:dyDescent="0.25">
      <c r="B116" s="19"/>
      <c r="C116" s="19"/>
      <c r="D116" s="19"/>
      <c r="E116" s="135" t="s">
        <v>120</v>
      </c>
      <c r="F116" s="135"/>
      <c r="G116" s="19"/>
      <c r="H116" s="19"/>
      <c r="I116" s="19"/>
    </row>
    <row r="117" spans="1:10" ht="15.75" x14ac:dyDescent="0.25">
      <c r="B117" s="136" t="s">
        <v>121</v>
      </c>
      <c r="C117" s="136"/>
      <c r="D117" s="136" t="s">
        <v>122</v>
      </c>
      <c r="E117" s="136"/>
      <c r="F117" s="55" t="s">
        <v>123</v>
      </c>
      <c r="G117" s="55" t="s">
        <v>124</v>
      </c>
      <c r="H117" s="136" t="s">
        <v>125</v>
      </c>
      <c r="I117" s="136"/>
    </row>
    <row r="118" spans="1:10" ht="15.75" x14ac:dyDescent="0.25">
      <c r="B118" s="124" t="str">
        <f>IF(Worksheet!J$3="","",Worksheet!J$3)</f>
        <v>Additel</v>
      </c>
      <c r="C118" s="124"/>
      <c r="D118" s="127">
        <f>IF(Worksheet!L$3="","",Worksheet!L$3)</f>
        <v>6851022030037</v>
      </c>
      <c r="E118" s="128"/>
      <c r="F118" s="56">
        <f>IF(Worksheet!N$3="","",Worksheet!N$3)</f>
        <v>45474</v>
      </c>
      <c r="G118" s="56">
        <f>IF(Worksheet!P$3="","",Worksheet!P$3)</f>
        <v>45839</v>
      </c>
      <c r="H118" s="125" t="str">
        <f>IF(Worksheet!R$3="","",Worksheet!R$3)</f>
        <v>56561-060578</v>
      </c>
      <c r="I118" s="126"/>
    </row>
    <row r="119" spans="1:10" ht="15.75" x14ac:dyDescent="0.25">
      <c r="B119" s="124" t="str">
        <f>IF(Worksheet!J$4="","",Worksheet!J$4)</f>
        <v/>
      </c>
      <c r="C119" s="124"/>
      <c r="D119" s="125" t="str">
        <f>IF(Worksheet!L$4="","",Worksheet!L$4)</f>
        <v/>
      </c>
      <c r="E119" s="126"/>
      <c r="F119" s="56" t="str">
        <f>IF(Worksheet!N$4="","",Worksheet!N$4)</f>
        <v/>
      </c>
      <c r="G119" s="56" t="str">
        <f>IF(Worksheet!P$4="","",Worksheet!P$4)</f>
        <v/>
      </c>
      <c r="H119" s="125" t="str">
        <f>IF(Worksheet!R$4="","",Worksheet!R$4)</f>
        <v/>
      </c>
      <c r="I119" s="126"/>
    </row>
    <row r="120" spans="1:10" ht="15.75" customHeight="1" x14ac:dyDescent="0.25">
      <c r="B120" s="124" t="str">
        <f>IF(Worksheet!J$5="","",Worksheet!J$5)</f>
        <v/>
      </c>
      <c r="C120" s="124"/>
      <c r="D120" s="125" t="str">
        <f>IF(Worksheet!L$5="","",Worksheet!L$5)</f>
        <v/>
      </c>
      <c r="E120" s="126"/>
      <c r="F120" s="56" t="str">
        <f>IF(Worksheet!N$5="","",Worksheet!N$5)</f>
        <v/>
      </c>
      <c r="G120" s="56" t="str">
        <f>IF(Worksheet!P$5="","",Worksheet!P$5)</f>
        <v/>
      </c>
      <c r="H120" s="125" t="str">
        <f>IF(Worksheet!R$5="","",Worksheet!R$5)</f>
        <v/>
      </c>
      <c r="I120" s="126"/>
    </row>
    <row r="121" spans="1:10" ht="8.1" customHeight="1" x14ac:dyDescent="0.25">
      <c r="B121" s="76"/>
      <c r="C121" s="76"/>
      <c r="D121" s="76"/>
      <c r="E121" s="76"/>
      <c r="F121" s="77"/>
      <c r="G121" s="77"/>
      <c r="H121" s="76"/>
      <c r="I121" s="76"/>
    </row>
    <row r="122" spans="1:10" ht="15.75" customHeight="1" x14ac:dyDescent="0.25">
      <c r="B122" s="76"/>
      <c r="C122" s="76"/>
      <c r="D122" s="23"/>
      <c r="E122" s="76"/>
      <c r="F122" s="77"/>
      <c r="G122" s="77"/>
      <c r="H122" s="76"/>
      <c r="I122" s="76"/>
    </row>
    <row r="123" spans="1:10" ht="28.5" x14ac:dyDescent="0.45">
      <c r="A123" s="120" t="s">
        <v>58</v>
      </c>
      <c r="B123" s="120"/>
      <c r="C123" s="120"/>
      <c r="D123" s="120"/>
      <c r="E123" s="120"/>
      <c r="F123" s="120"/>
      <c r="G123" s="120"/>
      <c r="H123" s="120"/>
      <c r="I123" s="120"/>
      <c r="J123" s="120"/>
    </row>
    <row r="124" spans="1:10" ht="18.75" x14ac:dyDescent="0.3">
      <c r="A124" s="121" t="s">
        <v>59</v>
      </c>
      <c r="B124" s="121"/>
      <c r="C124" s="121"/>
      <c r="D124" s="121"/>
      <c r="E124" s="121"/>
      <c r="F124" s="121"/>
      <c r="G124" s="121"/>
      <c r="H124" s="121"/>
      <c r="I124" s="121"/>
      <c r="J124" s="121"/>
    </row>
    <row r="125" spans="1:10" ht="18.75" x14ac:dyDescent="0.3">
      <c r="A125" s="121" t="s">
        <v>60</v>
      </c>
      <c r="B125" s="121"/>
      <c r="C125" s="121"/>
      <c r="D125" s="121"/>
      <c r="E125" s="121"/>
      <c r="F125" s="121"/>
      <c r="G125" s="121"/>
      <c r="H125" s="121"/>
      <c r="I125" s="121"/>
      <c r="J125" s="121"/>
    </row>
    <row r="126" spans="1:10" x14ac:dyDescent="0.2">
      <c r="B126" s="18"/>
    </row>
    <row r="127" spans="1:10" ht="23.25" x14ac:dyDescent="0.35">
      <c r="A127" s="122" t="s">
        <v>143</v>
      </c>
      <c r="B127" s="122"/>
      <c r="C127" s="122"/>
      <c r="D127" s="122"/>
      <c r="E127" s="122"/>
      <c r="F127" s="122"/>
      <c r="G127" s="122"/>
      <c r="H127" s="122"/>
      <c r="I127" s="122"/>
      <c r="J127" s="122"/>
    </row>
    <row r="128" spans="1:10" ht="9.9499999999999993" customHeight="1" x14ac:dyDescent="0.3">
      <c r="A128" s="45"/>
      <c r="B128" s="45"/>
      <c r="C128" s="45"/>
      <c r="D128" s="45"/>
      <c r="E128" s="45"/>
      <c r="F128" s="45"/>
      <c r="G128" s="45"/>
      <c r="H128" s="45"/>
      <c r="I128" s="45"/>
      <c r="J128" s="45"/>
    </row>
    <row r="129" spans="1:10" ht="18.75" x14ac:dyDescent="0.3">
      <c r="A129" s="19"/>
      <c r="B129" s="20"/>
      <c r="C129" s="19"/>
      <c r="D129" s="27"/>
      <c r="E129" s="28" t="s">
        <v>151</v>
      </c>
      <c r="F129" s="27"/>
      <c r="G129" s="19" t="s">
        <v>128</v>
      </c>
      <c r="H129" s="19" t="s">
        <v>127</v>
      </c>
      <c r="J129" s="19"/>
    </row>
    <row r="130" spans="1:10" ht="18.75" x14ac:dyDescent="0.3">
      <c r="A130" s="19"/>
      <c r="B130" s="25" t="s">
        <v>61</v>
      </c>
      <c r="C130" s="26" t="str">
        <f>Worksheet!B$1</f>
        <v>J10325</v>
      </c>
      <c r="D130" s="27"/>
      <c r="E130" s="27"/>
      <c r="F130" s="27"/>
      <c r="G130" s="27"/>
      <c r="H130" s="27"/>
      <c r="I130" s="27"/>
      <c r="J130" s="27"/>
    </row>
    <row r="131" spans="1:10" ht="18.75" x14ac:dyDescent="0.3">
      <c r="A131" s="19"/>
      <c r="B131" s="25" t="s">
        <v>62</v>
      </c>
      <c r="C131" s="26" t="str">
        <f>Worksheet!B$2</f>
        <v>Johnson Gage and Inspection, Inc.</v>
      </c>
      <c r="D131" s="27"/>
      <c r="E131" s="27"/>
      <c r="F131" s="27"/>
      <c r="H131" s="37"/>
      <c r="I131" s="37"/>
      <c r="J131" s="27"/>
    </row>
    <row r="132" spans="1:10" ht="18.75" x14ac:dyDescent="0.3">
      <c r="A132" s="19"/>
      <c r="B132" s="25"/>
      <c r="C132" s="26"/>
      <c r="D132" s="27"/>
      <c r="E132" s="27"/>
      <c r="F132" s="27"/>
      <c r="I132" s="52"/>
      <c r="J132" s="41"/>
    </row>
    <row r="133" spans="1:10" ht="18.75" x14ac:dyDescent="0.3">
      <c r="A133" s="19"/>
      <c r="B133" s="25" t="s">
        <v>73</v>
      </c>
      <c r="C133" s="26" t="str">
        <f>Worksheet!$B$3</f>
        <v>Data Acquisition System</v>
      </c>
      <c r="D133" s="27"/>
      <c r="E133" s="27"/>
      <c r="F133" s="27"/>
      <c r="G133" s="25" t="s">
        <v>63</v>
      </c>
      <c r="H133" s="52" t="str">
        <f>Worksheet!G$1</f>
        <v>Kevin Ferrante</v>
      </c>
      <c r="I133" s="53"/>
      <c r="J133" s="41"/>
    </row>
    <row r="134" spans="1:10" ht="18.75" x14ac:dyDescent="0.3">
      <c r="A134" s="19"/>
      <c r="B134" s="25" t="s">
        <v>74</v>
      </c>
      <c r="C134" s="26" t="str">
        <f>Worksheet!B$4</f>
        <v>J1</v>
      </c>
      <c r="D134" s="27"/>
      <c r="E134" s="27"/>
      <c r="F134" s="27"/>
      <c r="G134" s="25" t="s">
        <v>64</v>
      </c>
      <c r="H134" s="39">
        <f>Worksheet!G$2</f>
        <v>45747</v>
      </c>
      <c r="I134" s="40"/>
      <c r="J134" s="42"/>
    </row>
    <row r="135" spans="1:10" ht="18.75" x14ac:dyDescent="0.3">
      <c r="A135" s="19"/>
      <c r="B135" s="25" t="s">
        <v>68</v>
      </c>
      <c r="C135" s="26" t="str">
        <f>Worksheet!B$5</f>
        <v>DaqBook/2005</v>
      </c>
      <c r="D135" s="27"/>
      <c r="E135" s="27"/>
      <c r="F135" s="27"/>
      <c r="G135" s="25" t="s">
        <v>65</v>
      </c>
      <c r="H135" s="39">
        <f>Worksheet!G$3</f>
        <v>45838</v>
      </c>
      <c r="I135" s="44"/>
      <c r="J135" s="44"/>
    </row>
    <row r="136" spans="1:10" ht="18.75" x14ac:dyDescent="0.3">
      <c r="A136" s="19"/>
      <c r="B136" s="25" t="s">
        <v>69</v>
      </c>
      <c r="C136" s="26">
        <f>Worksheet!B$6</f>
        <v>807408</v>
      </c>
      <c r="D136" s="27"/>
      <c r="E136" s="27"/>
      <c r="F136" s="27"/>
      <c r="G136" s="25" t="s">
        <v>66</v>
      </c>
      <c r="H136" s="40">
        <f>Worksheet!G$4</f>
        <v>73</v>
      </c>
      <c r="I136" s="29"/>
      <c r="J136" s="29"/>
    </row>
    <row r="137" spans="1:10" ht="18.75" x14ac:dyDescent="0.3">
      <c r="A137" s="19"/>
      <c r="B137" s="25" t="s">
        <v>75</v>
      </c>
      <c r="C137" s="26" t="str">
        <f>Worksheet!B$7</f>
        <v>Pyrometry</v>
      </c>
      <c r="D137" s="27"/>
      <c r="E137" s="27"/>
      <c r="F137" s="27"/>
      <c r="G137" s="25" t="s">
        <v>67</v>
      </c>
      <c r="H137" s="43">
        <f>Worksheet!G$5</f>
        <v>29</v>
      </c>
      <c r="I137" s="29"/>
      <c r="J137" s="29"/>
    </row>
    <row r="138" spans="1:10" ht="3.95" customHeight="1" x14ac:dyDescent="0.25">
      <c r="A138" s="21"/>
      <c r="B138" s="22"/>
      <c r="C138" s="21"/>
      <c r="D138" s="21"/>
      <c r="E138" s="21"/>
      <c r="F138" s="21"/>
      <c r="G138" s="21"/>
      <c r="H138" s="21"/>
      <c r="I138" s="21"/>
      <c r="J138" s="21"/>
    </row>
    <row r="139" spans="1:10" ht="15.75" x14ac:dyDescent="0.25">
      <c r="A139" s="19"/>
      <c r="B139" s="20" t="s">
        <v>87</v>
      </c>
      <c r="C139" s="131" t="str">
        <f>Worksheet!B$8</f>
        <v>-100°F / +1000°F</v>
      </c>
      <c r="D139" s="131"/>
      <c r="E139" s="131"/>
      <c r="F139" s="19"/>
      <c r="G139" s="20" t="s">
        <v>71</v>
      </c>
      <c r="H139" s="131" t="str">
        <f>Worksheet!G$8</f>
        <v>AMS 2750H</v>
      </c>
      <c r="I139" s="131"/>
      <c r="J139" s="131"/>
    </row>
    <row r="140" spans="1:10" ht="15.75" x14ac:dyDescent="0.25">
      <c r="A140" s="19"/>
      <c r="B140" s="20" t="s">
        <v>85</v>
      </c>
      <c r="C140" s="131" t="str">
        <f>Worksheet!B$9</f>
        <v>0.1°F</v>
      </c>
      <c r="D140" s="131"/>
      <c r="E140" s="131"/>
      <c r="F140" s="19"/>
      <c r="G140" s="20" t="s">
        <v>72</v>
      </c>
      <c r="H140" s="131" t="str">
        <f>Worksheet!G$9</f>
        <v>Specification</v>
      </c>
      <c r="I140" s="131"/>
      <c r="J140" s="131"/>
    </row>
    <row r="141" spans="1:10" ht="15.75" x14ac:dyDescent="0.25">
      <c r="A141" s="19"/>
      <c r="B141" s="20" t="s">
        <v>70</v>
      </c>
      <c r="C141" s="131" t="str">
        <f>Worksheet!B$10</f>
        <v>Greater of ±1.0°F or ±0.1% Rdg</v>
      </c>
      <c r="D141" s="131"/>
      <c r="E141" s="131"/>
      <c r="F141" s="19"/>
      <c r="G141" s="20" t="s">
        <v>113</v>
      </c>
      <c r="H141" s="131" t="str">
        <f>Worksheet!G$10</f>
        <v>Used</v>
      </c>
      <c r="I141" s="131"/>
      <c r="J141" s="131"/>
    </row>
    <row r="142" spans="1:10" ht="3.95" customHeight="1" x14ac:dyDescent="0.25">
      <c r="A142" s="21"/>
      <c r="B142" s="22"/>
      <c r="C142" s="21"/>
      <c r="D142" s="21"/>
      <c r="E142" s="21"/>
      <c r="F142" s="21"/>
      <c r="G142" s="21"/>
      <c r="H142" s="21"/>
      <c r="I142" s="21"/>
      <c r="J142" s="21"/>
    </row>
    <row r="143" spans="1:10" ht="18.75" x14ac:dyDescent="0.3">
      <c r="B143" s="35" t="s">
        <v>79</v>
      </c>
      <c r="C143" s="132" t="s">
        <v>80</v>
      </c>
      <c r="D143" s="132"/>
      <c r="E143" s="132"/>
      <c r="F143" s="132"/>
      <c r="G143" s="132"/>
      <c r="H143" s="132"/>
      <c r="I143" s="34" t="s">
        <v>109</v>
      </c>
      <c r="J143" s="47"/>
    </row>
    <row r="144" spans="1:10" ht="18.75" x14ac:dyDescent="0.3">
      <c r="B144" s="35" t="s">
        <v>0</v>
      </c>
      <c r="C144" s="36" t="str">
        <f>IF(Worksheet!B$45="","",Worksheet!B$45)</f>
        <v>TYPE "J"</v>
      </c>
      <c r="D144" s="36" t="str">
        <f>IF(Worksheet!C$45="","",Worksheet!C$45)</f>
        <v>TYPE "J"</v>
      </c>
      <c r="E144" s="36" t="str">
        <f>IF(Worksheet!D$45="","",Worksheet!D$45)</f>
        <v>TYPE "J"</v>
      </c>
      <c r="F144" s="36" t="str">
        <f>IF(Worksheet!E$45="","",Worksheet!E$45)</f>
        <v>TYPE "J"</v>
      </c>
      <c r="G144" s="36" t="str">
        <f>IF(Worksheet!F$45="","",Worksheet!F$45)</f>
        <v>TYPE "J"</v>
      </c>
      <c r="H144" s="36" t="str">
        <f>IF(Worksheet!G$45="","",Worksheet!G$45)</f>
        <v>TYPE "J"</v>
      </c>
      <c r="I144" s="48" t="s">
        <v>110</v>
      </c>
      <c r="J144" s="37"/>
    </row>
    <row r="145" spans="2:14" ht="18.75" x14ac:dyDescent="0.3">
      <c r="B145" s="46"/>
      <c r="C145" s="46" t="str">
        <f>Worksheet!B82</f>
        <v>POINT #25</v>
      </c>
      <c r="D145" s="46" t="str">
        <f>Worksheet!C82</f>
        <v>POINT #26</v>
      </c>
      <c r="E145" s="46" t="str">
        <f>Worksheet!D82</f>
        <v>POINT #27</v>
      </c>
      <c r="F145" s="46" t="str">
        <f>Worksheet!E82</f>
        <v>POINT #28</v>
      </c>
      <c r="G145" s="46" t="str">
        <f>Worksheet!F82</f>
        <v>POINT #29</v>
      </c>
      <c r="H145" s="46" t="str">
        <f>Worksheet!G82</f>
        <v>POINT #30</v>
      </c>
      <c r="I145" s="37"/>
      <c r="J145" s="37"/>
    </row>
    <row r="146" spans="2:14" ht="18.75" x14ac:dyDescent="0.3">
      <c r="B146" s="65">
        <f>Worksheet!A83</f>
        <v>-100</v>
      </c>
      <c r="C146" s="38">
        <f>Worksheet!B83</f>
        <v>-99.9</v>
      </c>
      <c r="D146" s="38">
        <f>Worksheet!C83</f>
        <v>-100</v>
      </c>
      <c r="E146" s="38">
        <f>Worksheet!D83</f>
        <v>-100.2</v>
      </c>
      <c r="F146" s="38">
        <f>Worksheet!E83</f>
        <v>-100.1</v>
      </c>
      <c r="G146" s="38">
        <f>Worksheet!F83</f>
        <v>-100.2</v>
      </c>
      <c r="H146" s="38">
        <f>Worksheet!G83</f>
        <v>-100.2</v>
      </c>
      <c r="I146" s="63">
        <f t="shared" ref="I146:I151" si="16">IF(B146="","",MAX(L146,M146,N146))</f>
        <v>0.19</v>
      </c>
      <c r="J146" s="37"/>
      <c r="L146">
        <f t="shared" ref="L146:L151" si="17">IF(B146&lt;500.1,L$3,0)</f>
        <v>0.19</v>
      </c>
      <c r="M146">
        <f t="shared" ref="M146:M151" si="18">IF(AND(B146&gt;500,B146&lt;1350.1),M$3,0)</f>
        <v>0</v>
      </c>
      <c r="N146">
        <f t="shared" ref="N146:N151" si="19">IF(B146&gt;1350,N$3,0)</f>
        <v>0</v>
      </c>
    </row>
    <row r="147" spans="2:14" ht="18.75" x14ac:dyDescent="0.3">
      <c r="B147" s="65">
        <f>Worksheet!A84</f>
        <v>-50</v>
      </c>
      <c r="C147" s="38">
        <f>Worksheet!B84</f>
        <v>-49.9</v>
      </c>
      <c r="D147" s="38">
        <f>Worksheet!C84</f>
        <v>-49.8</v>
      </c>
      <c r="E147" s="38">
        <f>Worksheet!D84</f>
        <v>-50.1</v>
      </c>
      <c r="F147" s="38">
        <f>Worksheet!E84</f>
        <v>-50.1</v>
      </c>
      <c r="G147" s="38">
        <f>Worksheet!F84</f>
        <v>-50.1</v>
      </c>
      <c r="H147" s="38">
        <f>Worksheet!G84</f>
        <v>-50</v>
      </c>
      <c r="I147" s="63">
        <f t="shared" si="16"/>
        <v>0.19</v>
      </c>
      <c r="J147" s="37"/>
      <c r="L147">
        <f t="shared" si="17"/>
        <v>0.19</v>
      </c>
      <c r="M147">
        <f t="shared" si="18"/>
        <v>0</v>
      </c>
      <c r="N147">
        <f t="shared" si="19"/>
        <v>0</v>
      </c>
    </row>
    <row r="148" spans="2:14" ht="18.75" x14ac:dyDescent="0.3">
      <c r="B148" s="65">
        <f>Worksheet!A85</f>
        <v>0</v>
      </c>
      <c r="C148" s="38">
        <f>Worksheet!B85</f>
        <v>0</v>
      </c>
      <c r="D148" s="38">
        <f>Worksheet!C85</f>
        <v>0.1</v>
      </c>
      <c r="E148" s="38">
        <f>Worksheet!D85</f>
        <v>-0.1</v>
      </c>
      <c r="F148" s="38">
        <f>Worksheet!E85</f>
        <v>0</v>
      </c>
      <c r="G148" s="38">
        <f>Worksheet!F85</f>
        <v>0.1</v>
      </c>
      <c r="H148" s="38">
        <f>Worksheet!G85</f>
        <v>0.1</v>
      </c>
      <c r="I148" s="63">
        <f t="shared" si="16"/>
        <v>0.19</v>
      </c>
      <c r="J148" s="37"/>
      <c r="L148">
        <f t="shared" si="17"/>
        <v>0.19</v>
      </c>
      <c r="M148">
        <f t="shared" si="18"/>
        <v>0</v>
      </c>
      <c r="N148">
        <f t="shared" si="19"/>
        <v>0</v>
      </c>
    </row>
    <row r="149" spans="2:14" ht="18.75" x14ac:dyDescent="0.3">
      <c r="B149" s="65">
        <f>Worksheet!A86</f>
        <v>250</v>
      </c>
      <c r="C149" s="38">
        <f>Worksheet!B86</f>
        <v>250.1</v>
      </c>
      <c r="D149" s="38">
        <f>Worksheet!C86</f>
        <v>250.1</v>
      </c>
      <c r="E149" s="38">
        <f>Worksheet!D86</f>
        <v>250.2</v>
      </c>
      <c r="F149" s="38">
        <f>Worksheet!E86</f>
        <v>250.1</v>
      </c>
      <c r="G149" s="38">
        <f>Worksheet!F86</f>
        <v>249.8</v>
      </c>
      <c r="H149" s="38">
        <f>Worksheet!G86</f>
        <v>249.9</v>
      </c>
      <c r="I149" s="63">
        <f t="shared" si="16"/>
        <v>0.19</v>
      </c>
      <c r="J149" s="37"/>
      <c r="L149">
        <f t="shared" si="17"/>
        <v>0.19</v>
      </c>
      <c r="M149">
        <f t="shared" si="18"/>
        <v>0</v>
      </c>
      <c r="N149">
        <f t="shared" si="19"/>
        <v>0</v>
      </c>
    </row>
    <row r="150" spans="2:14" ht="18.75" x14ac:dyDescent="0.3">
      <c r="B150" s="65">
        <f>Worksheet!A87</f>
        <v>500</v>
      </c>
      <c r="C150" s="38">
        <f>Worksheet!B87</f>
        <v>500.1</v>
      </c>
      <c r="D150" s="38">
        <f>Worksheet!C87</f>
        <v>500.1</v>
      </c>
      <c r="E150" s="38">
        <f>Worksheet!D87</f>
        <v>500.2</v>
      </c>
      <c r="F150" s="38">
        <f>Worksheet!E87</f>
        <v>500.1</v>
      </c>
      <c r="G150" s="38">
        <f>Worksheet!F87</f>
        <v>499.9</v>
      </c>
      <c r="H150" s="38">
        <f>Worksheet!G87</f>
        <v>500</v>
      </c>
      <c r="I150" s="63">
        <f t="shared" si="16"/>
        <v>0.19</v>
      </c>
      <c r="J150" s="37"/>
      <c r="L150">
        <f t="shared" si="17"/>
        <v>0.19</v>
      </c>
      <c r="M150">
        <f t="shared" si="18"/>
        <v>0</v>
      </c>
      <c r="N150">
        <f t="shared" si="19"/>
        <v>0</v>
      </c>
    </row>
    <row r="151" spans="2:14" ht="18.75" x14ac:dyDescent="0.3">
      <c r="B151" s="65">
        <f>Worksheet!A88</f>
        <v>1000</v>
      </c>
      <c r="C151" s="38">
        <f>Worksheet!B88</f>
        <v>1000.2</v>
      </c>
      <c r="D151" s="38">
        <f>Worksheet!C88</f>
        <v>1000.1</v>
      </c>
      <c r="E151" s="38">
        <f>Worksheet!D88</f>
        <v>1000.3</v>
      </c>
      <c r="F151" s="38">
        <f>Worksheet!E88</f>
        <v>1000.2</v>
      </c>
      <c r="G151" s="38">
        <f>Worksheet!F88</f>
        <v>999.9</v>
      </c>
      <c r="H151" s="38">
        <f>Worksheet!G88</f>
        <v>1000</v>
      </c>
      <c r="I151" s="63">
        <f t="shared" si="16"/>
        <v>0.28999999999999998</v>
      </c>
      <c r="J151" s="37"/>
      <c r="L151">
        <f t="shared" si="17"/>
        <v>0</v>
      </c>
      <c r="M151">
        <f t="shared" si="18"/>
        <v>0.28999999999999998</v>
      </c>
      <c r="N151">
        <f t="shared" si="19"/>
        <v>0</v>
      </c>
    </row>
    <row r="152" spans="2:14" ht="9.9499999999999993" customHeight="1" x14ac:dyDescent="0.3">
      <c r="B152" s="37"/>
      <c r="C152" s="37"/>
      <c r="D152" s="37"/>
      <c r="E152" s="37"/>
      <c r="F152" s="37"/>
      <c r="G152" s="37"/>
      <c r="H152" s="37"/>
      <c r="I152" s="37"/>
      <c r="J152" s="37"/>
    </row>
    <row r="153" spans="2:14" ht="18.75" x14ac:dyDescent="0.3">
      <c r="B153" s="37"/>
      <c r="C153" s="46" t="str">
        <f>Worksheet!B90</f>
        <v>POINT #31</v>
      </c>
      <c r="D153" s="46" t="str">
        <f>Worksheet!C90</f>
        <v>POINT #32</v>
      </c>
      <c r="E153" s="46" t="str">
        <f>Worksheet!D90</f>
        <v>POINT #33</v>
      </c>
      <c r="F153" s="46" t="str">
        <f>Worksheet!E90</f>
        <v>POINT #34</v>
      </c>
      <c r="G153" s="46" t="str">
        <f>Worksheet!F90</f>
        <v>POINT #35</v>
      </c>
      <c r="H153" s="46" t="str">
        <f>Worksheet!G90</f>
        <v>POINT #36</v>
      </c>
      <c r="I153" s="37"/>
      <c r="J153" s="37"/>
    </row>
    <row r="154" spans="2:14" ht="18.75" x14ac:dyDescent="0.3">
      <c r="B154" s="38">
        <f>Worksheet!A91</f>
        <v>-100</v>
      </c>
      <c r="C154" s="38">
        <f>Worksheet!B91</f>
        <v>-100.1</v>
      </c>
      <c r="D154" s="38">
        <f>Worksheet!C91</f>
        <v>-100</v>
      </c>
      <c r="E154" s="38">
        <f>Worksheet!D91</f>
        <v>-100.2</v>
      </c>
      <c r="F154" s="38">
        <f>Worksheet!E91</f>
        <v>-100.2</v>
      </c>
      <c r="G154" s="38">
        <f>Worksheet!F91</f>
        <v>-100.2</v>
      </c>
      <c r="H154" s="38">
        <f>Worksheet!G91</f>
        <v>-100.3</v>
      </c>
      <c r="I154" s="63">
        <f t="shared" ref="I154:I159" si="20">IF(B154="","",MAX(L154,M154,N154))</f>
        <v>0.19</v>
      </c>
      <c r="J154" s="37"/>
      <c r="L154">
        <f t="shared" ref="L154:L159" si="21">IF(B154&lt;500.1,L$3,0)</f>
        <v>0.19</v>
      </c>
      <c r="M154">
        <f t="shared" ref="M154:M159" si="22">IF(AND(B154&gt;500,B154&lt;1350.1),M$3,0)</f>
        <v>0</v>
      </c>
      <c r="N154">
        <f t="shared" ref="N154:N159" si="23">IF(B154&gt;1350,N$3,0)</f>
        <v>0</v>
      </c>
    </row>
    <row r="155" spans="2:14" ht="18.75" x14ac:dyDescent="0.3">
      <c r="B155" s="38">
        <f>Worksheet!A92</f>
        <v>-50</v>
      </c>
      <c r="C155" s="38">
        <f>Worksheet!B92</f>
        <v>-49.9</v>
      </c>
      <c r="D155" s="38">
        <f>Worksheet!C92</f>
        <v>-50</v>
      </c>
      <c r="E155" s="38">
        <f>Worksheet!D92</f>
        <v>-50.1</v>
      </c>
      <c r="F155" s="38">
        <f>Worksheet!E92</f>
        <v>-50.2</v>
      </c>
      <c r="G155" s="38">
        <f>Worksheet!F92</f>
        <v>-50.1</v>
      </c>
      <c r="H155" s="38">
        <f>Worksheet!G92</f>
        <v>-50.2</v>
      </c>
      <c r="I155" s="63">
        <f t="shared" si="20"/>
        <v>0.19</v>
      </c>
      <c r="J155" s="37"/>
      <c r="L155">
        <f t="shared" si="21"/>
        <v>0.19</v>
      </c>
      <c r="M155">
        <f t="shared" si="22"/>
        <v>0</v>
      </c>
      <c r="N155">
        <f t="shared" si="23"/>
        <v>0</v>
      </c>
    </row>
    <row r="156" spans="2:14" ht="18.75" x14ac:dyDescent="0.3">
      <c r="B156" s="38">
        <f>Worksheet!A93</f>
        <v>0</v>
      </c>
      <c r="C156" s="38">
        <f>Worksheet!B93</f>
        <v>0.2</v>
      </c>
      <c r="D156" s="38">
        <f>Worksheet!C93</f>
        <v>0.2</v>
      </c>
      <c r="E156" s="38">
        <f>Worksheet!D93</f>
        <v>0.1</v>
      </c>
      <c r="F156" s="38">
        <f>Worksheet!E93</f>
        <v>0.1</v>
      </c>
      <c r="G156" s="38">
        <f>Worksheet!F93</f>
        <v>0.1</v>
      </c>
      <c r="H156" s="38">
        <f>Worksheet!G93</f>
        <v>0.1</v>
      </c>
      <c r="I156" s="63">
        <f t="shared" si="20"/>
        <v>0.19</v>
      </c>
      <c r="J156" s="37"/>
      <c r="L156">
        <f t="shared" si="21"/>
        <v>0.19</v>
      </c>
      <c r="M156">
        <f t="shared" si="22"/>
        <v>0</v>
      </c>
      <c r="N156">
        <f t="shared" si="23"/>
        <v>0</v>
      </c>
    </row>
    <row r="157" spans="2:14" ht="18.75" x14ac:dyDescent="0.3">
      <c r="B157" s="38">
        <f>Worksheet!A94</f>
        <v>250</v>
      </c>
      <c r="C157" s="38">
        <f>Worksheet!B94</f>
        <v>250</v>
      </c>
      <c r="D157" s="38">
        <f>Worksheet!C94</f>
        <v>250.1</v>
      </c>
      <c r="E157" s="38">
        <f>Worksheet!D94</f>
        <v>249.8</v>
      </c>
      <c r="F157" s="38">
        <f>Worksheet!E94</f>
        <v>249.7</v>
      </c>
      <c r="G157" s="38">
        <f>Worksheet!F94</f>
        <v>249.8</v>
      </c>
      <c r="H157" s="38">
        <f>Worksheet!G94</f>
        <v>250</v>
      </c>
      <c r="I157" s="63">
        <f t="shared" si="20"/>
        <v>0.19</v>
      </c>
      <c r="J157" s="37"/>
      <c r="L157">
        <f t="shared" si="21"/>
        <v>0.19</v>
      </c>
      <c r="M157">
        <f t="shared" si="22"/>
        <v>0</v>
      </c>
      <c r="N157">
        <f t="shared" si="23"/>
        <v>0</v>
      </c>
    </row>
    <row r="158" spans="2:14" ht="18.75" x14ac:dyDescent="0.3">
      <c r="B158" s="38">
        <f>Worksheet!A95</f>
        <v>500</v>
      </c>
      <c r="C158" s="38">
        <f>Worksheet!B95</f>
        <v>500.1</v>
      </c>
      <c r="D158" s="38">
        <f>Worksheet!C95</f>
        <v>500.1</v>
      </c>
      <c r="E158" s="38">
        <f>Worksheet!D95</f>
        <v>500</v>
      </c>
      <c r="F158" s="38">
        <f>Worksheet!E95</f>
        <v>500.1</v>
      </c>
      <c r="G158" s="38">
        <f>Worksheet!F95</f>
        <v>500</v>
      </c>
      <c r="H158" s="38">
        <f>Worksheet!G95</f>
        <v>500.2</v>
      </c>
      <c r="I158" s="63">
        <f t="shared" si="20"/>
        <v>0.19</v>
      </c>
      <c r="J158" s="37"/>
      <c r="L158">
        <f t="shared" si="21"/>
        <v>0.19</v>
      </c>
      <c r="M158">
        <f t="shared" si="22"/>
        <v>0</v>
      </c>
      <c r="N158">
        <f t="shared" si="23"/>
        <v>0</v>
      </c>
    </row>
    <row r="159" spans="2:14" ht="18.75" x14ac:dyDescent="0.3">
      <c r="B159" s="38">
        <f>Worksheet!A96</f>
        <v>1000</v>
      </c>
      <c r="C159" s="38">
        <f>Worksheet!B96</f>
        <v>1000</v>
      </c>
      <c r="D159" s="38">
        <f>Worksheet!C96</f>
        <v>1000.2</v>
      </c>
      <c r="E159" s="38">
        <f>Worksheet!D96</f>
        <v>1000.1</v>
      </c>
      <c r="F159" s="38">
        <f>Worksheet!E96</f>
        <v>1000.3</v>
      </c>
      <c r="G159" s="38">
        <f>Worksheet!F96</f>
        <v>1000.1</v>
      </c>
      <c r="H159" s="38">
        <f>Worksheet!G96</f>
        <v>1000.2</v>
      </c>
      <c r="I159" s="63">
        <f t="shared" si="20"/>
        <v>0.28999999999999998</v>
      </c>
      <c r="J159" s="37"/>
      <c r="L159">
        <f t="shared" si="21"/>
        <v>0</v>
      </c>
      <c r="M159">
        <f t="shared" si="22"/>
        <v>0.28999999999999998</v>
      </c>
      <c r="N159">
        <f t="shared" si="23"/>
        <v>0</v>
      </c>
    </row>
    <row r="160" spans="2:14" ht="9.9499999999999993" customHeight="1" x14ac:dyDescent="0.3">
      <c r="B160" s="37"/>
      <c r="C160" s="37"/>
      <c r="D160" s="37"/>
      <c r="E160" s="37"/>
      <c r="F160" s="37"/>
      <c r="G160" s="37"/>
      <c r="H160" s="37"/>
      <c r="I160" s="37"/>
      <c r="J160" s="37"/>
    </row>
    <row r="161" spans="1:10" ht="9.9499999999999993" customHeight="1" x14ac:dyDescent="0.2">
      <c r="A161" s="129" t="s">
        <v>111</v>
      </c>
      <c r="B161" s="129"/>
      <c r="C161" s="129"/>
      <c r="D161" s="129"/>
      <c r="E161" s="129"/>
      <c r="F161" s="129"/>
      <c r="G161" s="129"/>
      <c r="H161" s="129"/>
      <c r="I161" s="129"/>
      <c r="J161" s="129"/>
    </row>
    <row r="162" spans="1:10" ht="3.95" customHeight="1" x14ac:dyDescent="0.3">
      <c r="A162" s="49"/>
      <c r="B162" s="50"/>
      <c r="C162" s="50"/>
      <c r="D162" s="50"/>
      <c r="E162" s="50"/>
      <c r="F162" s="50"/>
      <c r="G162" s="50"/>
      <c r="H162" s="50"/>
      <c r="I162" s="50"/>
      <c r="J162" s="50"/>
    </row>
    <row r="163" spans="1:10" ht="12.75" customHeight="1" x14ac:dyDescent="0.2">
      <c r="A163" s="130" t="s">
        <v>112</v>
      </c>
      <c r="B163" s="130"/>
      <c r="C163" s="130"/>
      <c r="D163" s="130"/>
      <c r="E163" s="130"/>
      <c r="F163" s="130"/>
      <c r="G163" s="130"/>
      <c r="H163" s="130"/>
      <c r="I163" s="130"/>
      <c r="J163" s="130"/>
    </row>
    <row r="164" spans="1:10" x14ac:dyDescent="0.2">
      <c r="A164" s="130"/>
      <c r="B164" s="130"/>
      <c r="C164" s="130"/>
      <c r="D164" s="130"/>
      <c r="E164" s="130"/>
      <c r="F164" s="130"/>
      <c r="G164" s="130"/>
      <c r="H164" s="130"/>
      <c r="I164" s="130"/>
      <c r="J164" s="130"/>
    </row>
    <row r="165" spans="1:10" x14ac:dyDescent="0.2">
      <c r="A165" s="130"/>
      <c r="B165" s="130"/>
      <c r="C165" s="130"/>
      <c r="D165" s="130"/>
      <c r="E165" s="130"/>
      <c r="F165" s="130"/>
      <c r="G165" s="130"/>
      <c r="H165" s="130"/>
      <c r="I165" s="130"/>
      <c r="J165" s="130"/>
    </row>
    <row r="166" spans="1:10" ht="3.95" customHeight="1" x14ac:dyDescent="0.2">
      <c r="A166" s="49"/>
      <c r="B166" s="51"/>
      <c r="C166" s="51"/>
      <c r="D166" s="51"/>
      <c r="E166" s="51"/>
      <c r="F166" s="51"/>
      <c r="G166" s="51"/>
      <c r="H166" s="51"/>
      <c r="I166" s="51"/>
      <c r="J166" s="51"/>
    </row>
    <row r="167" spans="1:10" ht="18.75" x14ac:dyDescent="0.3">
      <c r="B167" s="37" t="s">
        <v>115</v>
      </c>
    </row>
    <row r="168" spans="1:10" x14ac:dyDescent="0.2">
      <c r="B168" s="133" t="str">
        <f>Worksheet!K$8</f>
        <v>Found in tolerance.  No adjustment required.  Above results represent both as found and as left readings.</v>
      </c>
      <c r="C168" s="133"/>
      <c r="D168" s="133"/>
      <c r="E168" s="133"/>
      <c r="F168" s="133"/>
      <c r="G168" s="133"/>
      <c r="H168" s="133"/>
      <c r="I168" s="133"/>
    </row>
    <row r="169" spans="1:10" x14ac:dyDescent="0.2">
      <c r="B169" s="133"/>
      <c r="C169" s="133"/>
      <c r="D169" s="133"/>
      <c r="E169" s="133"/>
      <c r="F169" s="133"/>
      <c r="G169" s="133"/>
      <c r="H169" s="133"/>
      <c r="I169" s="133"/>
    </row>
    <row r="170" spans="1:10" x14ac:dyDescent="0.2">
      <c r="B170" s="133"/>
      <c r="C170" s="133"/>
      <c r="D170" s="133"/>
      <c r="E170" s="133"/>
      <c r="F170" s="133"/>
      <c r="G170" s="133"/>
      <c r="H170" s="133"/>
      <c r="I170" s="133"/>
    </row>
    <row r="171" spans="1:10" x14ac:dyDescent="0.2">
      <c r="B171" s="133"/>
      <c r="C171" s="133"/>
      <c r="D171" s="133"/>
      <c r="E171" s="133"/>
      <c r="F171" s="133"/>
      <c r="G171" s="133"/>
      <c r="H171" s="133"/>
      <c r="I171" s="133"/>
    </row>
    <row r="172" spans="1:10" x14ac:dyDescent="0.2">
      <c r="B172" s="133"/>
      <c r="C172" s="133"/>
      <c r="D172" s="133"/>
      <c r="E172" s="133"/>
      <c r="F172" s="133"/>
      <c r="G172" s="133"/>
      <c r="H172" s="133"/>
      <c r="I172" s="133"/>
    </row>
    <row r="173" spans="1:10" ht="18.75" x14ac:dyDescent="0.3">
      <c r="B173" s="54" t="s">
        <v>118</v>
      </c>
      <c r="C173" s="134" t="str">
        <f>Worksheet!K$11</f>
        <v>Accepted</v>
      </c>
      <c r="D173" s="134"/>
      <c r="E173" s="134"/>
      <c r="F173" s="134"/>
    </row>
    <row r="174" spans="1:10" ht="12.75" customHeight="1" x14ac:dyDescent="0.2"/>
    <row r="175" spans="1:10" ht="3.95" customHeight="1" x14ac:dyDescent="0.2">
      <c r="A175" s="49"/>
      <c r="B175" s="49"/>
      <c r="C175" s="49"/>
      <c r="D175" s="49"/>
      <c r="E175" s="49"/>
      <c r="F175" s="49"/>
      <c r="G175" s="49"/>
      <c r="H175" s="49"/>
      <c r="I175" s="49"/>
      <c r="J175" s="49"/>
    </row>
    <row r="176" spans="1:10" ht="12.75" customHeight="1" x14ac:dyDescent="0.2"/>
    <row r="177" spans="1:10" ht="15.75" x14ac:dyDescent="0.25">
      <c r="B177" s="19"/>
      <c r="C177" s="19"/>
      <c r="D177" s="19"/>
      <c r="E177" s="135" t="s">
        <v>120</v>
      </c>
      <c r="F177" s="135"/>
      <c r="G177" s="19"/>
      <c r="H177" s="19"/>
      <c r="I177" s="19"/>
    </row>
    <row r="178" spans="1:10" ht="15.75" x14ac:dyDescent="0.25">
      <c r="B178" s="136" t="s">
        <v>121</v>
      </c>
      <c r="C178" s="136"/>
      <c r="D178" s="136" t="s">
        <v>122</v>
      </c>
      <c r="E178" s="136"/>
      <c r="F178" s="55" t="s">
        <v>123</v>
      </c>
      <c r="G178" s="55" t="s">
        <v>124</v>
      </c>
      <c r="H178" s="136" t="s">
        <v>125</v>
      </c>
      <c r="I178" s="136"/>
    </row>
    <row r="179" spans="1:10" ht="15.75" x14ac:dyDescent="0.25">
      <c r="B179" s="124" t="str">
        <f>IF(Worksheet!J$3="","",Worksheet!J$3)</f>
        <v>Additel</v>
      </c>
      <c r="C179" s="124"/>
      <c r="D179" s="127">
        <f>IF(Worksheet!L$3="","",Worksheet!L$3)</f>
        <v>6851022030037</v>
      </c>
      <c r="E179" s="128"/>
      <c r="F179" s="56">
        <f>IF(Worksheet!N$3="","",Worksheet!N$3)</f>
        <v>45474</v>
      </c>
      <c r="G179" s="56">
        <f>IF(Worksheet!P$3="","",Worksheet!P$3)</f>
        <v>45839</v>
      </c>
      <c r="H179" s="125" t="str">
        <f>IF(Worksheet!R$3="","",Worksheet!R$3)</f>
        <v>56561-060578</v>
      </c>
      <c r="I179" s="126"/>
    </row>
    <row r="180" spans="1:10" ht="15.75" x14ac:dyDescent="0.25">
      <c r="B180" s="124" t="str">
        <f>IF(Worksheet!J$4="","",Worksheet!J$4)</f>
        <v/>
      </c>
      <c r="C180" s="124"/>
      <c r="D180" s="125" t="str">
        <f>IF(Worksheet!L$4="","",Worksheet!L$4)</f>
        <v/>
      </c>
      <c r="E180" s="126"/>
      <c r="F180" s="56" t="str">
        <f>IF(Worksheet!N$4="","",Worksheet!N$4)</f>
        <v/>
      </c>
      <c r="G180" s="56" t="str">
        <f>IF(Worksheet!P$4="","",Worksheet!P$4)</f>
        <v/>
      </c>
      <c r="H180" s="125" t="str">
        <f>IF(Worksheet!R$4="","",Worksheet!R$4)</f>
        <v/>
      </c>
      <c r="I180" s="126"/>
    </row>
    <row r="181" spans="1:10" ht="15.75" x14ac:dyDescent="0.25">
      <c r="B181" s="124" t="str">
        <f>IF(Worksheet!J$5="","",Worksheet!J$5)</f>
        <v/>
      </c>
      <c r="C181" s="124"/>
      <c r="D181" s="125" t="str">
        <f>IF(Worksheet!L$5="","",Worksheet!L$5)</f>
        <v/>
      </c>
      <c r="E181" s="126"/>
      <c r="F181" s="56" t="str">
        <f>IF(Worksheet!N$5="","",Worksheet!N$5)</f>
        <v/>
      </c>
      <c r="G181" s="56" t="str">
        <f>IF(Worksheet!P$5="","",Worksheet!P$5)</f>
        <v/>
      </c>
      <c r="H181" s="125" t="str">
        <f>IF(Worksheet!R$5="","",Worksheet!R$5)</f>
        <v/>
      </c>
      <c r="I181" s="126"/>
    </row>
    <row r="182" spans="1:10" ht="8.1" customHeight="1" x14ac:dyDescent="0.25">
      <c r="B182" s="76"/>
      <c r="C182" s="76"/>
      <c r="D182" s="76"/>
      <c r="E182" s="76"/>
      <c r="F182" s="77"/>
      <c r="G182" s="77"/>
      <c r="H182" s="76"/>
      <c r="I182" s="76"/>
    </row>
    <row r="183" spans="1:10" ht="15.75" x14ac:dyDescent="0.25">
      <c r="B183" s="76"/>
      <c r="C183" s="76"/>
      <c r="D183" s="23"/>
      <c r="E183" s="76"/>
      <c r="F183" s="77"/>
      <c r="G183" s="77"/>
      <c r="H183" s="76"/>
      <c r="I183" s="76"/>
    </row>
    <row r="184" spans="1:10" ht="28.5" x14ac:dyDescent="0.45">
      <c r="A184" s="120" t="s">
        <v>58</v>
      </c>
      <c r="B184" s="120"/>
      <c r="C184" s="120"/>
      <c r="D184" s="120"/>
      <c r="E184" s="120"/>
      <c r="F184" s="120"/>
      <c r="G184" s="120"/>
      <c r="H184" s="120"/>
      <c r="I184" s="120"/>
      <c r="J184" s="120"/>
    </row>
    <row r="185" spans="1:10" ht="18.75" x14ac:dyDescent="0.3">
      <c r="A185" s="121" t="s">
        <v>59</v>
      </c>
      <c r="B185" s="121"/>
      <c r="C185" s="121"/>
      <c r="D185" s="121"/>
      <c r="E185" s="121"/>
      <c r="F185" s="121"/>
      <c r="G185" s="121"/>
      <c r="H185" s="121"/>
      <c r="I185" s="121"/>
      <c r="J185" s="121"/>
    </row>
    <row r="186" spans="1:10" ht="18.75" x14ac:dyDescent="0.3">
      <c r="A186" s="121" t="s">
        <v>60</v>
      </c>
      <c r="B186" s="121"/>
      <c r="C186" s="121"/>
      <c r="D186" s="121"/>
      <c r="E186" s="121"/>
      <c r="F186" s="121"/>
      <c r="G186" s="121"/>
      <c r="H186" s="121"/>
      <c r="I186" s="121"/>
      <c r="J186" s="121"/>
    </row>
    <row r="187" spans="1:10" x14ac:dyDescent="0.2">
      <c r="B187" s="18"/>
    </row>
    <row r="188" spans="1:10" ht="23.25" x14ac:dyDescent="0.35">
      <c r="A188" s="122" t="s">
        <v>143</v>
      </c>
      <c r="B188" s="122"/>
      <c r="C188" s="122"/>
      <c r="D188" s="122"/>
      <c r="E188" s="122"/>
      <c r="F188" s="122"/>
      <c r="G188" s="122"/>
      <c r="H188" s="122"/>
      <c r="I188" s="122"/>
      <c r="J188" s="122"/>
    </row>
    <row r="189" spans="1:10" ht="9.9499999999999993" customHeight="1" x14ac:dyDescent="0.3">
      <c r="A189" s="45"/>
      <c r="B189" s="45"/>
      <c r="C189" s="45"/>
      <c r="D189" s="45"/>
      <c r="E189" s="45"/>
      <c r="F189" s="45"/>
      <c r="G189" s="45"/>
      <c r="H189" s="45"/>
      <c r="I189" s="45"/>
      <c r="J189" s="45"/>
    </row>
    <row r="190" spans="1:10" ht="18.75" x14ac:dyDescent="0.3">
      <c r="A190" s="19"/>
      <c r="B190" s="20"/>
      <c r="C190" s="19"/>
      <c r="D190" s="27"/>
      <c r="E190" s="28" t="s">
        <v>152</v>
      </c>
      <c r="F190" s="27"/>
      <c r="G190" s="19" t="s">
        <v>128</v>
      </c>
      <c r="H190" s="19" t="s">
        <v>127</v>
      </c>
      <c r="J190" s="19"/>
    </row>
    <row r="191" spans="1:10" ht="18.75" x14ac:dyDescent="0.3">
      <c r="A191" s="19"/>
      <c r="B191" s="25" t="s">
        <v>61</v>
      </c>
      <c r="C191" s="26" t="str">
        <f>Worksheet!B$1</f>
        <v>J10325</v>
      </c>
      <c r="D191" s="27"/>
      <c r="E191" s="27"/>
      <c r="F191" s="27"/>
      <c r="G191" s="27"/>
      <c r="H191" s="27"/>
      <c r="I191" s="27"/>
      <c r="J191" s="27"/>
    </row>
    <row r="192" spans="1:10" ht="18.75" x14ac:dyDescent="0.3">
      <c r="A192" s="19"/>
      <c r="B192" s="25" t="s">
        <v>62</v>
      </c>
      <c r="C192" s="26" t="str">
        <f>Worksheet!B$2</f>
        <v>Johnson Gage and Inspection, Inc.</v>
      </c>
      <c r="D192" s="27"/>
      <c r="E192" s="27"/>
      <c r="F192" s="27"/>
      <c r="H192" s="37"/>
      <c r="I192" s="37"/>
      <c r="J192" s="27"/>
    </row>
    <row r="193" spans="1:14" ht="18.75" x14ac:dyDescent="0.3">
      <c r="A193" s="19"/>
      <c r="B193" s="25"/>
      <c r="C193" s="26"/>
      <c r="D193" s="27"/>
      <c r="E193" s="27"/>
      <c r="F193" s="27"/>
      <c r="I193" s="52"/>
      <c r="J193" s="41"/>
    </row>
    <row r="194" spans="1:14" ht="18.75" x14ac:dyDescent="0.3">
      <c r="A194" s="19"/>
      <c r="B194" s="25" t="s">
        <v>73</v>
      </c>
      <c r="C194" s="26" t="str">
        <f>Worksheet!$B$3</f>
        <v>Data Acquisition System</v>
      </c>
      <c r="D194" s="27"/>
      <c r="E194" s="27"/>
      <c r="F194" s="27"/>
      <c r="G194" s="25" t="s">
        <v>63</v>
      </c>
      <c r="H194" s="52" t="str">
        <f>Worksheet!G$1</f>
        <v>Kevin Ferrante</v>
      </c>
      <c r="I194" s="53"/>
      <c r="J194" s="41"/>
    </row>
    <row r="195" spans="1:14" ht="18.75" x14ac:dyDescent="0.3">
      <c r="A195" s="19"/>
      <c r="B195" s="25" t="s">
        <v>74</v>
      </c>
      <c r="C195" s="26" t="str">
        <f>Worksheet!B$4</f>
        <v>J1</v>
      </c>
      <c r="D195" s="27"/>
      <c r="E195" s="27"/>
      <c r="F195" s="27"/>
      <c r="G195" s="25" t="s">
        <v>64</v>
      </c>
      <c r="H195" s="39">
        <f>Worksheet!G$2</f>
        <v>45747</v>
      </c>
      <c r="I195" s="40"/>
      <c r="J195" s="42"/>
    </row>
    <row r="196" spans="1:14" ht="18.75" x14ac:dyDescent="0.3">
      <c r="A196" s="19"/>
      <c r="B196" s="25" t="s">
        <v>68</v>
      </c>
      <c r="C196" s="26" t="str">
        <f>Worksheet!B$5</f>
        <v>DaqBook/2005</v>
      </c>
      <c r="D196" s="27"/>
      <c r="E196" s="27"/>
      <c r="F196" s="27"/>
      <c r="G196" s="25" t="s">
        <v>65</v>
      </c>
      <c r="H196" s="39">
        <f>Worksheet!G$3</f>
        <v>45838</v>
      </c>
      <c r="I196" s="44"/>
      <c r="J196" s="44"/>
    </row>
    <row r="197" spans="1:14" ht="18.75" x14ac:dyDescent="0.3">
      <c r="A197" s="19"/>
      <c r="B197" s="25" t="s">
        <v>69</v>
      </c>
      <c r="C197" s="26">
        <f>Worksheet!B$6</f>
        <v>807408</v>
      </c>
      <c r="D197" s="27"/>
      <c r="E197" s="27"/>
      <c r="F197" s="27"/>
      <c r="G197" s="25" t="s">
        <v>66</v>
      </c>
      <c r="H197" s="40">
        <f>Worksheet!G$4</f>
        <v>73</v>
      </c>
      <c r="I197" s="29"/>
      <c r="J197" s="29"/>
    </row>
    <row r="198" spans="1:14" ht="18.75" x14ac:dyDescent="0.3">
      <c r="A198" s="19"/>
      <c r="B198" s="25" t="s">
        <v>75</v>
      </c>
      <c r="C198" s="26" t="str">
        <f>Worksheet!B$7</f>
        <v>Pyrometry</v>
      </c>
      <c r="D198" s="27"/>
      <c r="E198" s="27"/>
      <c r="F198" s="27"/>
      <c r="G198" s="25" t="s">
        <v>67</v>
      </c>
      <c r="H198" s="43">
        <f>Worksheet!G$5</f>
        <v>29</v>
      </c>
      <c r="I198" s="29"/>
      <c r="J198" s="29"/>
    </row>
    <row r="199" spans="1:14" ht="3.95" customHeight="1" x14ac:dyDescent="0.25">
      <c r="A199" s="21"/>
      <c r="B199" s="22"/>
      <c r="C199" s="21"/>
      <c r="D199" s="21"/>
      <c r="E199" s="21"/>
      <c r="F199" s="21"/>
      <c r="G199" s="21"/>
      <c r="H199" s="21"/>
      <c r="I199" s="21"/>
      <c r="J199" s="21"/>
    </row>
    <row r="200" spans="1:14" ht="15.75" customHeight="1" x14ac:dyDescent="0.25">
      <c r="A200" s="19"/>
      <c r="B200" s="20" t="s">
        <v>87</v>
      </c>
      <c r="C200" s="131" t="str">
        <f>Worksheet!B$8</f>
        <v>-100°F / +1000°F</v>
      </c>
      <c r="D200" s="131"/>
      <c r="E200" s="131"/>
      <c r="F200" s="19"/>
      <c r="G200" s="20" t="s">
        <v>71</v>
      </c>
      <c r="H200" s="131" t="str">
        <f>Worksheet!G$8</f>
        <v>AMS 2750H</v>
      </c>
      <c r="I200" s="131"/>
      <c r="J200" s="131"/>
    </row>
    <row r="201" spans="1:14" ht="15.75" x14ac:dyDescent="0.25">
      <c r="A201" s="19"/>
      <c r="B201" s="20" t="s">
        <v>85</v>
      </c>
      <c r="C201" s="131" t="str">
        <f>Worksheet!B$9</f>
        <v>0.1°F</v>
      </c>
      <c r="D201" s="131"/>
      <c r="E201" s="131"/>
      <c r="F201" s="19"/>
      <c r="G201" s="20" t="s">
        <v>72</v>
      </c>
      <c r="H201" s="131" t="str">
        <f>Worksheet!G$9</f>
        <v>Specification</v>
      </c>
      <c r="I201" s="131"/>
      <c r="J201" s="131"/>
    </row>
    <row r="202" spans="1:14" ht="15.75" x14ac:dyDescent="0.25">
      <c r="A202" s="19"/>
      <c r="B202" s="20" t="s">
        <v>70</v>
      </c>
      <c r="C202" s="131" t="str">
        <f>Worksheet!B$10</f>
        <v>Greater of ±1.0°F or ±0.1% Rdg</v>
      </c>
      <c r="D202" s="131"/>
      <c r="E202" s="131"/>
      <c r="F202" s="19"/>
      <c r="G202" s="20" t="s">
        <v>113</v>
      </c>
      <c r="H202" s="131" t="str">
        <f>Worksheet!G$10</f>
        <v>Used</v>
      </c>
      <c r="I202" s="131"/>
      <c r="J202" s="131"/>
    </row>
    <row r="203" spans="1:14" ht="3.95" customHeight="1" x14ac:dyDescent="0.25">
      <c r="A203" s="21"/>
      <c r="B203" s="22"/>
      <c r="C203" s="21"/>
      <c r="D203" s="21"/>
      <c r="E203" s="21"/>
      <c r="F203" s="21"/>
      <c r="G203" s="21"/>
      <c r="H203" s="21"/>
      <c r="I203" s="21"/>
      <c r="J203" s="21"/>
    </row>
    <row r="204" spans="1:14" ht="18.75" x14ac:dyDescent="0.3">
      <c r="B204" s="35" t="s">
        <v>79</v>
      </c>
      <c r="C204" s="132" t="s">
        <v>80</v>
      </c>
      <c r="D204" s="132"/>
      <c r="E204" s="132"/>
      <c r="F204" s="132"/>
      <c r="G204" s="132"/>
      <c r="H204" s="132"/>
      <c r="I204" s="34" t="s">
        <v>109</v>
      </c>
      <c r="J204" s="47"/>
    </row>
    <row r="205" spans="1:14" ht="18.75" x14ac:dyDescent="0.3">
      <c r="B205" s="35" t="s">
        <v>0</v>
      </c>
      <c r="C205" s="36" t="str">
        <f>IF(Worksheet!B$45="","",Worksheet!B$45)</f>
        <v>TYPE "J"</v>
      </c>
      <c r="D205" s="36" t="str">
        <f>IF(Worksheet!C$45="","",Worksheet!C$45)</f>
        <v>TYPE "J"</v>
      </c>
      <c r="E205" s="36" t="str">
        <f>IF(Worksheet!D$45="","",Worksheet!D$45)</f>
        <v>TYPE "J"</v>
      </c>
      <c r="F205" s="36" t="str">
        <f>IF(Worksheet!E$45="","",Worksheet!E$45)</f>
        <v>TYPE "J"</v>
      </c>
      <c r="G205" s="36"/>
      <c r="H205" s="36"/>
      <c r="I205" s="48" t="s">
        <v>110</v>
      </c>
      <c r="J205" s="37"/>
    </row>
    <row r="206" spans="1:14" ht="18.75" x14ac:dyDescent="0.3">
      <c r="B206" s="46"/>
      <c r="C206" s="46" t="str">
        <f>Worksheet!B100</f>
        <v>POINT #37</v>
      </c>
      <c r="D206" s="46" t="str">
        <f>Worksheet!C100</f>
        <v>POINT #38</v>
      </c>
      <c r="E206" s="46" t="str">
        <f>Worksheet!D100</f>
        <v>POINT #39</v>
      </c>
      <c r="F206" s="46" t="str">
        <f>Worksheet!E100</f>
        <v>POINT #40</v>
      </c>
      <c r="G206" s="46"/>
      <c r="H206" s="46"/>
      <c r="I206" s="37"/>
      <c r="J206" s="37"/>
    </row>
    <row r="207" spans="1:14" ht="18.75" x14ac:dyDescent="0.3">
      <c r="B207" s="38">
        <f>Worksheet!A101</f>
        <v>-100</v>
      </c>
      <c r="C207" s="38">
        <f>Worksheet!B101</f>
        <v>-100.5</v>
      </c>
      <c r="D207" s="38">
        <f>Worksheet!C101</f>
        <v>-100.1</v>
      </c>
      <c r="E207" s="38">
        <f>Worksheet!D101</f>
        <v>-99.8</v>
      </c>
      <c r="F207" s="38">
        <f>Worksheet!E101</f>
        <v>-99.9</v>
      </c>
      <c r="G207" s="37"/>
      <c r="H207" s="37"/>
      <c r="I207" s="63">
        <f t="shared" ref="I207:I212" si="24">IF(B207="","",MAX(L207,M207,N207))</f>
        <v>0.19</v>
      </c>
      <c r="J207" s="37"/>
      <c r="L207">
        <f t="shared" ref="L207:L212" si="25">IF(B207&lt;500.1,L$3,0)</f>
        <v>0.19</v>
      </c>
      <c r="M207">
        <f t="shared" ref="M207:M212" si="26">IF(AND(B207&gt;500,B207&lt;1350.1),M$3,0)</f>
        <v>0</v>
      </c>
      <c r="N207">
        <f t="shared" ref="N207:N212" si="27">IF(B207&gt;1350,N$3,0)</f>
        <v>0</v>
      </c>
    </row>
    <row r="208" spans="1:14" ht="18.75" x14ac:dyDescent="0.3">
      <c r="B208" s="38">
        <f>Worksheet!A102</f>
        <v>-50</v>
      </c>
      <c r="C208" s="38">
        <f>Worksheet!B102</f>
        <v>-50.3</v>
      </c>
      <c r="D208" s="38">
        <f>Worksheet!C102</f>
        <v>-49.8</v>
      </c>
      <c r="E208" s="38">
        <f>Worksheet!D102</f>
        <v>-50</v>
      </c>
      <c r="F208" s="38">
        <f>Worksheet!E102</f>
        <v>-50</v>
      </c>
      <c r="G208" s="37"/>
      <c r="H208" s="37"/>
      <c r="I208" s="63">
        <f t="shared" si="24"/>
        <v>0.19</v>
      </c>
      <c r="J208" s="37"/>
      <c r="L208">
        <f t="shared" si="25"/>
        <v>0.19</v>
      </c>
      <c r="M208">
        <f t="shared" si="26"/>
        <v>0</v>
      </c>
      <c r="N208">
        <f t="shared" si="27"/>
        <v>0</v>
      </c>
    </row>
    <row r="209" spans="1:14" ht="18.75" x14ac:dyDescent="0.3">
      <c r="B209" s="38">
        <f>Worksheet!A103</f>
        <v>0</v>
      </c>
      <c r="C209" s="38">
        <f>Worksheet!B103</f>
        <v>0.3</v>
      </c>
      <c r="D209" s="38">
        <f>Worksheet!C103</f>
        <v>0.2</v>
      </c>
      <c r="E209" s="38">
        <f>Worksheet!D103</f>
        <v>0.2</v>
      </c>
      <c r="F209" s="38">
        <f>Worksheet!E103</f>
        <v>0.2</v>
      </c>
      <c r="G209" s="37"/>
      <c r="H209" s="37"/>
      <c r="I209" s="63">
        <f t="shared" si="24"/>
        <v>0.19</v>
      </c>
      <c r="J209" s="37"/>
      <c r="L209">
        <f t="shared" si="25"/>
        <v>0.19</v>
      </c>
      <c r="M209">
        <f t="shared" si="26"/>
        <v>0</v>
      </c>
      <c r="N209">
        <f t="shared" si="27"/>
        <v>0</v>
      </c>
    </row>
    <row r="210" spans="1:14" ht="18.75" x14ac:dyDescent="0.3">
      <c r="B210" s="38">
        <f>Worksheet!A104</f>
        <v>250</v>
      </c>
      <c r="C210" s="38">
        <f>Worksheet!B104</f>
        <v>250.3</v>
      </c>
      <c r="D210" s="38">
        <f>Worksheet!C104</f>
        <v>250.2</v>
      </c>
      <c r="E210" s="38">
        <f>Worksheet!D104</f>
        <v>250.3</v>
      </c>
      <c r="F210" s="38">
        <f>Worksheet!E104</f>
        <v>250.1</v>
      </c>
      <c r="G210" s="37"/>
      <c r="H210" s="37"/>
      <c r="I210" s="63">
        <f t="shared" si="24"/>
        <v>0.19</v>
      </c>
      <c r="J210" s="37"/>
      <c r="L210">
        <f t="shared" si="25"/>
        <v>0.19</v>
      </c>
      <c r="M210">
        <f t="shared" si="26"/>
        <v>0</v>
      </c>
      <c r="N210">
        <f t="shared" si="27"/>
        <v>0</v>
      </c>
    </row>
    <row r="211" spans="1:14" ht="18.75" x14ac:dyDescent="0.3">
      <c r="B211" s="38">
        <f>Worksheet!A105</f>
        <v>500</v>
      </c>
      <c r="C211" s="38">
        <f>Worksheet!B105</f>
        <v>500.4</v>
      </c>
      <c r="D211" s="38">
        <f>Worksheet!C105</f>
        <v>500.3</v>
      </c>
      <c r="E211" s="38">
        <f>Worksheet!D105</f>
        <v>500</v>
      </c>
      <c r="F211" s="38">
        <f>Worksheet!E105</f>
        <v>500.1</v>
      </c>
      <c r="G211" s="37"/>
      <c r="H211" s="37"/>
      <c r="I211" s="63">
        <f t="shared" si="24"/>
        <v>0.19</v>
      </c>
      <c r="J211" s="37"/>
      <c r="L211">
        <f t="shared" si="25"/>
        <v>0.19</v>
      </c>
      <c r="M211">
        <f t="shared" si="26"/>
        <v>0</v>
      </c>
      <c r="N211">
        <f t="shared" si="27"/>
        <v>0</v>
      </c>
    </row>
    <row r="212" spans="1:14" ht="18.75" x14ac:dyDescent="0.3">
      <c r="B212" s="38">
        <f>Worksheet!A106</f>
        <v>1000</v>
      </c>
      <c r="C212" s="38">
        <f>Worksheet!B106</f>
        <v>1000.5</v>
      </c>
      <c r="D212" s="38">
        <f>Worksheet!C106</f>
        <v>1000.3</v>
      </c>
      <c r="E212" s="38">
        <f>Worksheet!D106</f>
        <v>1000.1</v>
      </c>
      <c r="F212" s="38">
        <f>Worksheet!E106</f>
        <v>1000.1</v>
      </c>
      <c r="G212" s="37"/>
      <c r="H212" s="37"/>
      <c r="I212" s="63">
        <f t="shared" si="24"/>
        <v>0.28999999999999998</v>
      </c>
      <c r="J212" s="37"/>
      <c r="L212">
        <f t="shared" si="25"/>
        <v>0</v>
      </c>
      <c r="M212">
        <f t="shared" si="26"/>
        <v>0.28999999999999998</v>
      </c>
      <c r="N212">
        <f t="shared" si="27"/>
        <v>0</v>
      </c>
    </row>
    <row r="213" spans="1:14" ht="9.9499999999999993" customHeight="1" x14ac:dyDescent="0.3">
      <c r="B213" s="37"/>
      <c r="C213" s="37"/>
      <c r="D213" s="37"/>
      <c r="E213" s="37"/>
      <c r="F213" s="37"/>
      <c r="G213" s="37"/>
      <c r="H213" s="37"/>
      <c r="I213" s="37"/>
      <c r="J213" s="37"/>
    </row>
    <row r="214" spans="1:14" ht="18.75" x14ac:dyDescent="0.3">
      <c r="B214" s="37"/>
      <c r="C214" s="46"/>
      <c r="D214" s="46"/>
      <c r="E214" s="46"/>
      <c r="F214" s="46"/>
      <c r="G214" s="46"/>
      <c r="H214" s="46"/>
      <c r="I214" s="37"/>
      <c r="J214" s="37"/>
    </row>
    <row r="215" spans="1:14" ht="18.75" x14ac:dyDescent="0.3">
      <c r="B215" s="37"/>
      <c r="C215" s="37"/>
      <c r="D215" s="37"/>
      <c r="E215" s="37"/>
      <c r="F215" s="37"/>
      <c r="G215" s="37"/>
      <c r="H215" s="37"/>
      <c r="I215" s="63" t="str">
        <f t="shared" ref="I215:I220" si="28">IF(B215="","",MAX(L215,M215,N215))</f>
        <v/>
      </c>
      <c r="J215" s="37"/>
    </row>
    <row r="216" spans="1:14" ht="18.75" x14ac:dyDescent="0.3">
      <c r="B216" s="37"/>
      <c r="C216" s="37"/>
      <c r="D216" s="37"/>
      <c r="E216" s="37"/>
      <c r="F216" s="37"/>
      <c r="G216" s="37"/>
      <c r="H216" s="37"/>
      <c r="I216" s="63" t="str">
        <f t="shared" si="28"/>
        <v/>
      </c>
      <c r="J216" s="37"/>
    </row>
    <row r="217" spans="1:14" ht="18.75" x14ac:dyDescent="0.3">
      <c r="B217" s="37"/>
      <c r="C217" s="37"/>
      <c r="D217" s="37"/>
      <c r="E217" s="37"/>
      <c r="F217" s="37"/>
      <c r="G217" s="37"/>
      <c r="H217" s="37"/>
      <c r="I217" s="63" t="str">
        <f t="shared" si="28"/>
        <v/>
      </c>
      <c r="J217" s="37"/>
    </row>
    <row r="218" spans="1:14" ht="18.75" x14ac:dyDescent="0.3">
      <c r="B218" s="37"/>
      <c r="C218" s="37"/>
      <c r="D218" s="37"/>
      <c r="E218" s="37"/>
      <c r="F218" s="37"/>
      <c r="G218" s="37"/>
      <c r="H218" s="37"/>
      <c r="I218" s="63" t="str">
        <f t="shared" si="28"/>
        <v/>
      </c>
      <c r="J218" s="37"/>
    </row>
    <row r="219" spans="1:14" ht="18.75" x14ac:dyDescent="0.3">
      <c r="B219" s="37"/>
      <c r="C219" s="37"/>
      <c r="D219" s="37"/>
      <c r="E219" s="37"/>
      <c r="F219" s="37"/>
      <c r="G219" s="37"/>
      <c r="H219" s="37"/>
      <c r="I219" s="63" t="str">
        <f t="shared" si="28"/>
        <v/>
      </c>
      <c r="J219" s="37"/>
    </row>
    <row r="220" spans="1:14" ht="18.75" x14ac:dyDescent="0.3">
      <c r="B220" s="37"/>
      <c r="C220" s="37"/>
      <c r="D220" s="37"/>
      <c r="E220" s="37"/>
      <c r="F220" s="37"/>
      <c r="G220" s="37"/>
      <c r="H220" s="37"/>
      <c r="I220" s="63" t="str">
        <f t="shared" si="28"/>
        <v/>
      </c>
      <c r="J220" s="37"/>
    </row>
    <row r="221" spans="1:14" ht="9.9499999999999993" customHeight="1" x14ac:dyDescent="0.3">
      <c r="B221" s="37"/>
      <c r="C221" s="37"/>
      <c r="D221" s="37"/>
      <c r="E221" s="37"/>
      <c r="F221" s="37"/>
      <c r="G221" s="37"/>
      <c r="H221" s="37"/>
      <c r="I221" s="37"/>
      <c r="J221" s="37"/>
    </row>
    <row r="222" spans="1:14" ht="9.9499999999999993" customHeight="1" x14ac:dyDescent="0.2">
      <c r="A222" s="129" t="s">
        <v>111</v>
      </c>
      <c r="B222" s="129"/>
      <c r="C222" s="129"/>
      <c r="D222" s="129"/>
      <c r="E222" s="129"/>
      <c r="F222" s="129"/>
      <c r="G222" s="129"/>
      <c r="H222" s="129"/>
      <c r="I222" s="129"/>
      <c r="J222" s="129"/>
    </row>
    <row r="223" spans="1:14" ht="3.95" customHeight="1" x14ac:dyDescent="0.3">
      <c r="A223" s="49"/>
      <c r="B223" s="50"/>
      <c r="C223" s="50"/>
      <c r="D223" s="50"/>
      <c r="E223" s="50"/>
      <c r="F223" s="50"/>
      <c r="G223" s="50"/>
      <c r="H223" s="50"/>
      <c r="I223" s="50"/>
      <c r="J223" s="50"/>
    </row>
    <row r="224" spans="1:14" x14ac:dyDescent="0.2">
      <c r="A224" s="130" t="s">
        <v>112</v>
      </c>
      <c r="B224" s="130"/>
      <c r="C224" s="130"/>
      <c r="D224" s="130"/>
      <c r="E224" s="130"/>
      <c r="F224" s="130"/>
      <c r="G224" s="130"/>
      <c r="H224" s="130"/>
      <c r="I224" s="130"/>
      <c r="J224" s="130"/>
    </row>
    <row r="225" spans="1:10" x14ac:dyDescent="0.2">
      <c r="A225" s="130"/>
      <c r="B225" s="130"/>
      <c r="C225" s="130"/>
      <c r="D225" s="130"/>
      <c r="E225" s="130"/>
      <c r="F225" s="130"/>
      <c r="G225" s="130"/>
      <c r="H225" s="130"/>
      <c r="I225" s="130"/>
      <c r="J225" s="130"/>
    </row>
    <row r="226" spans="1:10" x14ac:dyDescent="0.2">
      <c r="A226" s="130"/>
      <c r="B226" s="130"/>
      <c r="C226" s="130"/>
      <c r="D226" s="130"/>
      <c r="E226" s="130"/>
      <c r="F226" s="130"/>
      <c r="G226" s="130"/>
      <c r="H226" s="130"/>
      <c r="I226" s="130"/>
      <c r="J226" s="130"/>
    </row>
    <row r="227" spans="1:10" ht="3.95" customHeight="1" x14ac:dyDescent="0.2">
      <c r="A227" s="49"/>
      <c r="B227" s="51"/>
      <c r="C227" s="51"/>
      <c r="D227" s="51"/>
      <c r="E227" s="51"/>
      <c r="F227" s="51"/>
      <c r="G227" s="51"/>
      <c r="H227" s="51"/>
      <c r="I227" s="51"/>
      <c r="J227" s="51"/>
    </row>
    <row r="228" spans="1:10" ht="18.75" x14ac:dyDescent="0.3">
      <c r="B228" s="37" t="s">
        <v>115</v>
      </c>
    </row>
    <row r="229" spans="1:10" ht="12.75" customHeight="1" x14ac:dyDescent="0.2">
      <c r="B229" s="133" t="str">
        <f>Worksheet!K$8</f>
        <v>Found in tolerance.  No adjustment required.  Above results represent both as found and as left readings.</v>
      </c>
      <c r="C229" s="133"/>
      <c r="D229" s="133"/>
      <c r="E229" s="133"/>
      <c r="F229" s="133"/>
      <c r="G229" s="133"/>
      <c r="H229" s="133"/>
      <c r="I229" s="133"/>
    </row>
    <row r="230" spans="1:10" x14ac:dyDescent="0.2">
      <c r="B230" s="133"/>
      <c r="C230" s="133"/>
      <c r="D230" s="133"/>
      <c r="E230" s="133"/>
      <c r="F230" s="133"/>
      <c r="G230" s="133"/>
      <c r="H230" s="133"/>
      <c r="I230" s="133"/>
    </row>
    <row r="231" spans="1:10" x14ac:dyDescent="0.2">
      <c r="B231" s="133"/>
      <c r="C231" s="133"/>
      <c r="D231" s="133"/>
      <c r="E231" s="133"/>
      <c r="F231" s="133"/>
      <c r="G231" s="133"/>
      <c r="H231" s="133"/>
      <c r="I231" s="133"/>
    </row>
    <row r="232" spans="1:10" x14ac:dyDescent="0.2">
      <c r="B232" s="133"/>
      <c r="C232" s="133"/>
      <c r="D232" s="133"/>
      <c r="E232" s="133"/>
      <c r="F232" s="133"/>
      <c r="G232" s="133"/>
      <c r="H232" s="133"/>
      <c r="I232" s="133"/>
    </row>
    <row r="233" spans="1:10" x14ac:dyDescent="0.2">
      <c r="B233" s="133"/>
      <c r="C233" s="133"/>
      <c r="D233" s="133"/>
      <c r="E233" s="133"/>
      <c r="F233" s="133"/>
      <c r="G233" s="133"/>
      <c r="H233" s="133"/>
      <c r="I233" s="133"/>
    </row>
    <row r="234" spans="1:10" ht="18.75" x14ac:dyDescent="0.3">
      <c r="B234" s="54" t="s">
        <v>118</v>
      </c>
      <c r="C234" s="134" t="str">
        <f>Worksheet!K$11</f>
        <v>Accepted</v>
      </c>
      <c r="D234" s="134"/>
      <c r="E234" s="134"/>
      <c r="F234" s="134"/>
    </row>
    <row r="235" spans="1:10" ht="12.75" customHeight="1" x14ac:dyDescent="0.2"/>
    <row r="236" spans="1:10" ht="3.95" customHeight="1" x14ac:dyDescent="0.2">
      <c r="A236" s="49"/>
      <c r="B236" s="49"/>
      <c r="C236" s="49"/>
      <c r="D236" s="49"/>
      <c r="E236" s="49"/>
      <c r="F236" s="49"/>
      <c r="G236" s="49"/>
      <c r="H236" s="49"/>
      <c r="I236" s="49"/>
      <c r="J236" s="49"/>
    </row>
    <row r="238" spans="1:10" ht="15.75" x14ac:dyDescent="0.25">
      <c r="B238" s="19"/>
      <c r="C238" s="19"/>
      <c r="D238" s="19"/>
      <c r="E238" s="135" t="s">
        <v>120</v>
      </c>
      <c r="F238" s="135"/>
      <c r="G238" s="19"/>
      <c r="H238" s="19"/>
      <c r="I238" s="19"/>
    </row>
    <row r="239" spans="1:10" ht="15.75" x14ac:dyDescent="0.25">
      <c r="B239" s="136" t="s">
        <v>121</v>
      </c>
      <c r="C239" s="136"/>
      <c r="D239" s="136" t="s">
        <v>122</v>
      </c>
      <c r="E239" s="136"/>
      <c r="F239" s="55" t="s">
        <v>123</v>
      </c>
      <c r="G239" s="55" t="s">
        <v>124</v>
      </c>
      <c r="H239" s="136" t="s">
        <v>125</v>
      </c>
      <c r="I239" s="136"/>
    </row>
    <row r="240" spans="1:10" ht="15.75" customHeight="1" x14ac:dyDescent="0.25">
      <c r="B240" s="124" t="str">
        <f>IF(Worksheet!J$3="","",Worksheet!J$3)</f>
        <v>Additel</v>
      </c>
      <c r="C240" s="124"/>
      <c r="D240" s="127">
        <f>IF(Worksheet!L$3="","",Worksheet!L$3)</f>
        <v>6851022030037</v>
      </c>
      <c r="E240" s="128"/>
      <c r="F240" s="56">
        <f>IF(Worksheet!N$3="","",Worksheet!N$3)</f>
        <v>45474</v>
      </c>
      <c r="G240" s="56">
        <f>IF(Worksheet!P$3="","",Worksheet!P$3)</f>
        <v>45839</v>
      </c>
      <c r="H240" s="125" t="str">
        <f>IF(Worksheet!R$3="","",Worksheet!R$3)</f>
        <v>56561-060578</v>
      </c>
      <c r="I240" s="126"/>
    </row>
    <row r="241" spans="1:10" ht="15.75" x14ac:dyDescent="0.25">
      <c r="B241" s="124" t="str">
        <f>IF(Worksheet!J$4="","",Worksheet!J$4)</f>
        <v/>
      </c>
      <c r="C241" s="124"/>
      <c r="D241" s="125" t="str">
        <f>IF(Worksheet!L$4="","",Worksheet!L$4)</f>
        <v/>
      </c>
      <c r="E241" s="126"/>
      <c r="F241" s="56" t="str">
        <f>IF(Worksheet!N$4="","",Worksheet!N$4)</f>
        <v/>
      </c>
      <c r="G241" s="56" t="str">
        <f>IF(Worksheet!P$4="","",Worksheet!P$4)</f>
        <v/>
      </c>
      <c r="H241" s="125" t="str">
        <f>IF(Worksheet!R$4="","",Worksheet!R$4)</f>
        <v/>
      </c>
      <c r="I241" s="126"/>
    </row>
    <row r="242" spans="1:10" ht="15.75" x14ac:dyDescent="0.25">
      <c r="B242" s="124" t="str">
        <f>IF(Worksheet!J$5="","",Worksheet!J$5)</f>
        <v/>
      </c>
      <c r="C242" s="124"/>
      <c r="D242" s="125" t="str">
        <f>IF(Worksheet!L$5="","",Worksheet!L$5)</f>
        <v/>
      </c>
      <c r="E242" s="126"/>
      <c r="F242" s="56" t="str">
        <f>IF(Worksheet!N$5="","",Worksheet!N$5)</f>
        <v/>
      </c>
      <c r="G242" s="56" t="str">
        <f>IF(Worksheet!P$5="","",Worksheet!P$5)</f>
        <v/>
      </c>
      <c r="H242" s="125" t="str">
        <f>IF(Worksheet!R$5="","",Worksheet!R$5)</f>
        <v/>
      </c>
      <c r="I242" s="126"/>
    </row>
    <row r="243" spans="1:10" ht="8.1" customHeight="1" x14ac:dyDescent="0.2"/>
    <row r="244" spans="1:10" ht="15.75" customHeight="1" x14ac:dyDescent="0.2">
      <c r="D244" s="23"/>
    </row>
    <row r="245" spans="1:10" ht="28.5" x14ac:dyDescent="0.45">
      <c r="A245" s="120" t="s">
        <v>58</v>
      </c>
      <c r="B245" s="120"/>
      <c r="C245" s="120"/>
      <c r="D245" s="120"/>
      <c r="E245" s="120"/>
      <c r="F245" s="120"/>
      <c r="G245" s="120"/>
      <c r="H245" s="120"/>
      <c r="I245" s="120"/>
      <c r="J245" s="120"/>
    </row>
    <row r="246" spans="1:10" ht="18.75" x14ac:dyDescent="0.3">
      <c r="A246" s="121" t="s">
        <v>59</v>
      </c>
      <c r="B246" s="121"/>
      <c r="C246" s="121"/>
      <c r="D246" s="121"/>
      <c r="E246" s="121"/>
      <c r="F246" s="121"/>
      <c r="G246" s="121"/>
      <c r="H246" s="121"/>
      <c r="I246" s="121"/>
      <c r="J246" s="121"/>
    </row>
    <row r="247" spans="1:10" ht="18.75" x14ac:dyDescent="0.3">
      <c r="A247" s="121" t="s">
        <v>60</v>
      </c>
      <c r="B247" s="121"/>
      <c r="C247" s="121"/>
      <c r="D247" s="121"/>
      <c r="E247" s="121"/>
      <c r="F247" s="121"/>
      <c r="G247" s="121"/>
      <c r="H247" s="121"/>
      <c r="I247" s="121"/>
      <c r="J247" s="121"/>
    </row>
    <row r="248" spans="1:10" x14ac:dyDescent="0.2">
      <c r="B248" s="18"/>
    </row>
    <row r="249" spans="1:10" ht="23.25" x14ac:dyDescent="0.35">
      <c r="A249" s="122" t="s">
        <v>147</v>
      </c>
      <c r="B249" s="122"/>
      <c r="C249" s="122"/>
      <c r="D249" s="122"/>
      <c r="E249" s="122"/>
      <c r="F249" s="122"/>
      <c r="G249" s="122"/>
      <c r="H249" s="122"/>
      <c r="I249" s="122"/>
      <c r="J249" s="122"/>
    </row>
    <row r="250" spans="1:10" ht="18.75" x14ac:dyDescent="0.3">
      <c r="A250" s="45"/>
      <c r="B250" s="45"/>
      <c r="C250" s="45"/>
      <c r="D250" s="45"/>
      <c r="E250" s="45"/>
      <c r="F250" s="45"/>
      <c r="G250" s="45"/>
      <c r="H250" s="45"/>
      <c r="I250" s="45"/>
      <c r="J250" s="45"/>
    </row>
    <row r="251" spans="1:10" ht="18.75" x14ac:dyDescent="0.3">
      <c r="A251" s="19"/>
      <c r="B251" s="20"/>
      <c r="C251" s="19"/>
      <c r="D251" s="27"/>
      <c r="E251" s="28" t="s">
        <v>148</v>
      </c>
      <c r="F251" s="27"/>
      <c r="G251" s="19" t="s">
        <v>128</v>
      </c>
      <c r="H251" s="19" t="s">
        <v>127</v>
      </c>
      <c r="J251" s="19"/>
    </row>
    <row r="252" spans="1:10" ht="18.75" x14ac:dyDescent="0.3">
      <c r="A252" s="19"/>
      <c r="B252" s="25" t="s">
        <v>61</v>
      </c>
      <c r="C252" s="26" t="str">
        <f>Worksheet!B$1</f>
        <v>J10325</v>
      </c>
      <c r="D252" s="27"/>
      <c r="E252" s="27"/>
      <c r="F252" s="27"/>
      <c r="G252" s="27"/>
      <c r="H252" s="27"/>
      <c r="I252" s="27"/>
      <c r="J252" s="27"/>
    </row>
    <row r="253" spans="1:10" ht="12.95" customHeight="1" x14ac:dyDescent="0.3">
      <c r="A253" s="19"/>
      <c r="B253" s="84" t="s">
        <v>153</v>
      </c>
      <c r="C253" s="123"/>
      <c r="D253" s="123"/>
      <c r="E253" s="123"/>
      <c r="F253" s="123"/>
      <c r="G253" s="123"/>
      <c r="H253" s="123"/>
      <c r="I253" s="123"/>
      <c r="J253" s="27"/>
    </row>
    <row r="254" spans="1:10" ht="12.95" customHeight="1" x14ac:dyDescent="0.3">
      <c r="A254" s="19"/>
      <c r="B254" s="84" t="s">
        <v>0</v>
      </c>
      <c r="C254" s="85" t="str">
        <f>Sheet1!B41</f>
        <v>POINT #1</v>
      </c>
      <c r="D254" s="85" t="str">
        <f>Sheet1!C41</f>
        <v>POINT #2</v>
      </c>
      <c r="E254" s="85" t="str">
        <f>Sheet1!D41</f>
        <v>POINT #3</v>
      </c>
      <c r="F254" s="85" t="str">
        <f>Sheet1!E41</f>
        <v>POINT #4</v>
      </c>
      <c r="G254" s="85" t="str">
        <f>Sheet1!F41</f>
        <v>POINT #5</v>
      </c>
      <c r="H254" s="85" t="str">
        <f>Sheet1!G41</f>
        <v>POINT #6</v>
      </c>
      <c r="I254" s="86"/>
      <c r="J254" s="41"/>
    </row>
    <row r="255" spans="1:10" ht="12.95" customHeight="1" x14ac:dyDescent="0.3">
      <c r="A255" s="19"/>
      <c r="B255" s="87">
        <f>Worksheet!BP13</f>
        <v>-100</v>
      </c>
      <c r="C255" s="87">
        <f>Worksheet!BQ13</f>
        <v>0.20000000000000284</v>
      </c>
      <c r="D255" s="87">
        <f>Worksheet!BR13</f>
        <v>9.9999999999994316E-2</v>
      </c>
      <c r="E255" s="87">
        <f>Worksheet!BS13</f>
        <v>0.20000000000000284</v>
      </c>
      <c r="F255" s="87">
        <f>Worksheet!BT13</f>
        <v>9.9999999999994316E-2</v>
      </c>
      <c r="G255" s="87">
        <f>Worksheet!BU13</f>
        <v>0</v>
      </c>
      <c r="H255" s="87">
        <f>Worksheet!BV13</f>
        <v>9.9999999999994316E-2</v>
      </c>
      <c r="I255" s="88"/>
      <c r="J255" s="41"/>
    </row>
    <row r="256" spans="1:10" ht="12.95" customHeight="1" x14ac:dyDescent="0.3">
      <c r="A256" s="19"/>
      <c r="B256" s="87">
        <f>Worksheet!BP14</f>
        <v>-50</v>
      </c>
      <c r="C256" s="87">
        <f>Worksheet!BQ14</f>
        <v>0.20000000000000284</v>
      </c>
      <c r="D256" s="87">
        <f>Worksheet!BR14</f>
        <v>0.10000000000000142</v>
      </c>
      <c r="E256" s="87">
        <f>Worksheet!BS14</f>
        <v>0.20000000000000284</v>
      </c>
      <c r="F256" s="87">
        <f>Worksheet!BT14</f>
        <v>0.10000000000000142</v>
      </c>
      <c r="G256" s="87">
        <f>Worksheet!BU14</f>
        <v>0</v>
      </c>
      <c r="H256" s="87">
        <f>Worksheet!BV14</f>
        <v>0.10000000000000142</v>
      </c>
      <c r="I256" s="89"/>
      <c r="J256" s="42"/>
    </row>
    <row r="257" spans="1:10" ht="12.95" customHeight="1" x14ac:dyDescent="0.3">
      <c r="A257" s="19"/>
      <c r="B257" s="87">
        <f>Worksheet!BP15</f>
        <v>0</v>
      </c>
      <c r="C257" s="87">
        <f>Worksheet!BQ15</f>
        <v>-0.1</v>
      </c>
      <c r="D257" s="87">
        <f>Worksheet!BR15</f>
        <v>0</v>
      </c>
      <c r="E257" s="87">
        <f>Worksheet!BS15</f>
        <v>-0.2</v>
      </c>
      <c r="F257" s="87">
        <f>Worksheet!BT15</f>
        <v>0</v>
      </c>
      <c r="G257" s="87">
        <f>Worksheet!BU15</f>
        <v>0</v>
      </c>
      <c r="H257" s="87">
        <f>Worksheet!BV15</f>
        <v>0</v>
      </c>
      <c r="I257" s="90"/>
      <c r="J257" s="44"/>
    </row>
    <row r="258" spans="1:10" ht="12.95" customHeight="1" x14ac:dyDescent="0.25">
      <c r="A258" s="19"/>
      <c r="B258" s="87">
        <f>Worksheet!BP16</f>
        <v>250</v>
      </c>
      <c r="C258" s="87">
        <f>Worksheet!BQ16</f>
        <v>-0.19999999999998863</v>
      </c>
      <c r="D258" s="87">
        <f>Worksheet!BR16</f>
        <v>-9.9999999999994316E-2</v>
      </c>
      <c r="E258" s="87">
        <f>Worksheet!BS16</f>
        <v>-9.9999999999994316E-2</v>
      </c>
      <c r="F258" s="87">
        <f>Worksheet!BT16</f>
        <v>0</v>
      </c>
      <c r="G258" s="87">
        <f>Worksheet!BU16</f>
        <v>-9.9999999999994316E-2</v>
      </c>
      <c r="H258" s="87">
        <f>Worksheet!BV16</f>
        <v>0</v>
      </c>
      <c r="I258" s="91"/>
      <c r="J258" s="29"/>
    </row>
    <row r="259" spans="1:10" ht="12.95" customHeight="1" x14ac:dyDescent="0.25">
      <c r="A259" s="19"/>
      <c r="B259" s="87">
        <f>Worksheet!BP17</f>
        <v>500</v>
      </c>
      <c r="C259" s="87">
        <f>Worksheet!BQ17</f>
        <v>-0.19999999999998863</v>
      </c>
      <c r="D259" s="87">
        <f>Worksheet!BR17</f>
        <v>-0.10000000000002274</v>
      </c>
      <c r="E259" s="87">
        <f>Worksheet!BS17</f>
        <v>-0.10000000000002274</v>
      </c>
      <c r="F259" s="87">
        <f>Worksheet!BT17</f>
        <v>-0.10000000000002274</v>
      </c>
      <c r="G259" s="87">
        <f>Worksheet!BU17</f>
        <v>-0.10000000000002274</v>
      </c>
      <c r="H259" s="87">
        <f>Worksheet!BV17</f>
        <v>-0.10000000000002274</v>
      </c>
      <c r="I259" s="91"/>
      <c r="J259" s="29"/>
    </row>
    <row r="260" spans="1:10" ht="12.95" customHeight="1" x14ac:dyDescent="0.25">
      <c r="A260" s="19"/>
      <c r="B260" s="87">
        <f>Worksheet!BP18</f>
        <v>1000</v>
      </c>
      <c r="C260" s="87">
        <f>Worksheet!BQ18</f>
        <v>-0.10000000000002274</v>
      </c>
      <c r="D260" s="87">
        <f>Worksheet!BR18</f>
        <v>-0.20000000000004547</v>
      </c>
      <c r="E260" s="87">
        <f>Worksheet!BS18</f>
        <v>-0.10000000000002274</v>
      </c>
      <c r="F260" s="87">
        <f>Worksheet!BT18</f>
        <v>-0.10000000000002274</v>
      </c>
      <c r="G260" s="87">
        <f>Worksheet!BU18</f>
        <v>-0.20000000000004547</v>
      </c>
      <c r="H260" s="87">
        <f>Worksheet!BV18</f>
        <v>-0.10000000000002274</v>
      </c>
      <c r="I260" s="84"/>
      <c r="J260" s="19"/>
    </row>
    <row r="261" spans="1:10" ht="12.95" customHeight="1" x14ac:dyDescent="0.25">
      <c r="A261" s="19"/>
      <c r="B261" s="84"/>
      <c r="C261" s="123"/>
      <c r="D261" s="123"/>
      <c r="E261" s="123"/>
      <c r="F261" s="84"/>
      <c r="G261" s="84"/>
      <c r="H261" s="84"/>
      <c r="I261" s="84"/>
      <c r="J261" s="19"/>
    </row>
    <row r="262" spans="1:10" ht="12.95" customHeight="1" x14ac:dyDescent="0.25">
      <c r="A262" s="19"/>
      <c r="B262" s="84"/>
      <c r="C262" s="85" t="str">
        <f>Sheet1!B49</f>
        <v>POINT #7</v>
      </c>
      <c r="D262" s="85" t="str">
        <f>Sheet1!C49</f>
        <v>POINT #8</v>
      </c>
      <c r="E262" s="85" t="str">
        <f>Sheet1!D49</f>
        <v>POINT #9</v>
      </c>
      <c r="F262" s="85" t="str">
        <f>Sheet1!E49</f>
        <v>POINT #10</v>
      </c>
      <c r="G262" s="85" t="str">
        <f>Sheet1!F49</f>
        <v>POINT #11</v>
      </c>
      <c r="H262" s="85" t="str">
        <f>Sheet1!G49</f>
        <v>POINT #12</v>
      </c>
      <c r="I262" s="84"/>
      <c r="J262" s="19"/>
    </row>
    <row r="263" spans="1:10" ht="12.95" customHeight="1" x14ac:dyDescent="0.25">
      <c r="A263" s="19"/>
      <c r="B263" s="87">
        <f>Worksheet!BP21</f>
        <v>-100</v>
      </c>
      <c r="C263" s="101">
        <f>Worksheet!BQ21</f>
        <v>9.9999999999994316E-2</v>
      </c>
      <c r="D263" s="101">
        <f>Worksheet!BR21</f>
        <v>0</v>
      </c>
      <c r="E263" s="101">
        <f>Worksheet!BS21</f>
        <v>0.29999999999999716</v>
      </c>
      <c r="F263" s="101">
        <f>Worksheet!BT21</f>
        <v>-9.9999999999994316E-2</v>
      </c>
      <c r="G263" s="101">
        <f>Worksheet!BU21</f>
        <v>0.20000000000000284</v>
      </c>
      <c r="H263" s="101">
        <f>Worksheet!BV21</f>
        <v>-9.9999999999994316E-2</v>
      </c>
      <c r="I263" s="84"/>
      <c r="J263" s="19"/>
    </row>
    <row r="264" spans="1:10" ht="12.95" customHeight="1" x14ac:dyDescent="0.25">
      <c r="A264" s="19"/>
      <c r="B264" s="87">
        <f>Worksheet!BP22</f>
        <v>-50</v>
      </c>
      <c r="C264" s="101">
        <f>Worksheet!BQ22</f>
        <v>0</v>
      </c>
      <c r="D264" s="101">
        <f>Worksheet!BR22</f>
        <v>0</v>
      </c>
      <c r="E264" s="101">
        <f>Worksheet!BS22</f>
        <v>0.29999999999999716</v>
      </c>
      <c r="F264" s="101">
        <f>Worksheet!BT22</f>
        <v>-0.10000000000000142</v>
      </c>
      <c r="G264" s="101">
        <f>Worksheet!BU22</f>
        <v>0.20000000000000284</v>
      </c>
      <c r="H264" s="101">
        <f>Worksheet!BV22</f>
        <v>-0.10000000000000142</v>
      </c>
      <c r="I264" s="84"/>
      <c r="J264" s="19"/>
    </row>
    <row r="265" spans="1:10" ht="12.95" customHeight="1" x14ac:dyDescent="0.3">
      <c r="B265" s="87">
        <f>Worksheet!BP23</f>
        <v>0</v>
      </c>
      <c r="C265" s="101">
        <f>Worksheet!BQ23</f>
        <v>0</v>
      </c>
      <c r="D265" s="101">
        <f>Worksheet!BR23</f>
        <v>0.1</v>
      </c>
      <c r="E265" s="101">
        <f>Worksheet!BS23</f>
        <v>-0.3</v>
      </c>
      <c r="F265" s="101">
        <f>Worksheet!BT23</f>
        <v>0.1</v>
      </c>
      <c r="G265" s="101">
        <f>Worksheet!BU23</f>
        <v>-0.2</v>
      </c>
      <c r="H265" s="101">
        <f>Worksheet!BV23</f>
        <v>-0.1</v>
      </c>
      <c r="I265" s="92"/>
      <c r="J265" s="47"/>
    </row>
    <row r="266" spans="1:10" ht="12.95" customHeight="1" x14ac:dyDescent="0.3">
      <c r="B266" s="87">
        <f>Worksheet!BP24</f>
        <v>250</v>
      </c>
      <c r="C266" s="101">
        <f>Worksheet!BQ24</f>
        <v>-9.9999999999994316E-2</v>
      </c>
      <c r="D266" s="101">
        <f>Worksheet!BR24</f>
        <v>-9.9999999999994316E-2</v>
      </c>
      <c r="E266" s="101">
        <f>Worksheet!BS24</f>
        <v>-0.19999999999998863</v>
      </c>
      <c r="F266" s="101">
        <f>Worksheet!BT24</f>
        <v>-9.9999999999994316E-2</v>
      </c>
      <c r="G266" s="101">
        <f>Worksheet!BU24</f>
        <v>-9.9999999999994316E-2</v>
      </c>
      <c r="H266" s="101">
        <f>Worksheet!BV24</f>
        <v>-0.19999999999998863</v>
      </c>
      <c r="I266" s="93"/>
      <c r="J266" s="37"/>
    </row>
    <row r="267" spans="1:10" ht="12.95" customHeight="1" x14ac:dyDescent="0.3">
      <c r="B267" s="87">
        <f>Worksheet!BP25</f>
        <v>500</v>
      </c>
      <c r="C267" s="101">
        <f>Worksheet!BQ25</f>
        <v>-0.19999999999998863</v>
      </c>
      <c r="D267" s="101">
        <f>Worksheet!BR25</f>
        <v>-0.19999999999998863</v>
      </c>
      <c r="E267" s="101">
        <f>Worksheet!BS25</f>
        <v>-0.19999999999998863</v>
      </c>
      <c r="F267" s="101">
        <f>Worksheet!BT25</f>
        <v>-0.19999999999998863</v>
      </c>
      <c r="G267" s="101">
        <f>Worksheet!BU25</f>
        <v>-0.10000000000002274</v>
      </c>
      <c r="H267" s="101">
        <f>Worksheet!BV25</f>
        <v>-0.19999999999998863</v>
      </c>
      <c r="I267" s="92"/>
      <c r="J267" s="37"/>
    </row>
    <row r="268" spans="1:10" ht="12.95" customHeight="1" x14ac:dyDescent="0.3">
      <c r="B268" s="87">
        <f>Worksheet!BP26</f>
        <v>1000</v>
      </c>
      <c r="C268" s="101">
        <f>Worksheet!BQ26</f>
        <v>-0.39999999999997726</v>
      </c>
      <c r="D268" s="101">
        <f>Worksheet!BR26</f>
        <v>-0.20000000000004547</v>
      </c>
      <c r="E268" s="101">
        <f>Worksheet!BS26</f>
        <v>-0.10000000000002274</v>
      </c>
      <c r="F268" s="101">
        <f>Worksheet!BT26</f>
        <v>-0.29999999999995453</v>
      </c>
      <c r="G268" s="101">
        <f>Worksheet!BU26</f>
        <v>-0.20000000000004547</v>
      </c>
      <c r="H268" s="101">
        <f>Worksheet!BV26</f>
        <v>-0.20000000000004547</v>
      </c>
      <c r="I268" s="94"/>
      <c r="J268" s="37"/>
    </row>
    <row r="269" spans="1:10" ht="12.95" customHeight="1" x14ac:dyDescent="0.3">
      <c r="B269" s="89"/>
      <c r="C269" s="89"/>
      <c r="D269" s="89"/>
      <c r="E269" s="89"/>
      <c r="F269" s="89"/>
      <c r="G269" s="92"/>
      <c r="H269" s="92"/>
      <c r="I269" s="94"/>
      <c r="J269" s="37"/>
    </row>
    <row r="270" spans="1:10" ht="12.95" customHeight="1" x14ac:dyDescent="0.3">
      <c r="B270" s="89"/>
      <c r="C270" s="85" t="str">
        <f>Sheet1!B59</f>
        <v>POINT #13</v>
      </c>
      <c r="D270" s="85" t="str">
        <f>Sheet1!C59</f>
        <v>POINT #14</v>
      </c>
      <c r="E270" s="85" t="str">
        <f>Sheet1!D59</f>
        <v>POINT #15</v>
      </c>
      <c r="F270" s="85" t="str">
        <f>Sheet1!E59</f>
        <v>POINT #16</v>
      </c>
      <c r="G270" s="85" t="str">
        <f>Sheet1!F59</f>
        <v>POINT #17</v>
      </c>
      <c r="H270" s="85" t="str">
        <f>Sheet1!G59</f>
        <v>POINT #18</v>
      </c>
      <c r="I270" s="94"/>
      <c r="J270" s="37"/>
    </row>
    <row r="271" spans="1:10" ht="12.95" customHeight="1" x14ac:dyDescent="0.3">
      <c r="B271" s="87">
        <f>Worksheet!BP29</f>
        <v>-100</v>
      </c>
      <c r="C271" s="101">
        <f>Worksheet!BQ29</f>
        <v>0</v>
      </c>
      <c r="D271" s="101">
        <f>Worksheet!BR29</f>
        <v>-9.9999999999994316E-2</v>
      </c>
      <c r="E271" s="101">
        <f>Worksheet!BS29</f>
        <v>-9.9999999999994316E-2</v>
      </c>
      <c r="F271" s="101">
        <f>Worksheet!BT29</f>
        <v>0</v>
      </c>
      <c r="G271" s="101">
        <f>Worksheet!BU29</f>
        <v>-0.20000000000000284</v>
      </c>
      <c r="H271" s="101">
        <f>Worksheet!BV29</f>
        <v>0.20000000000000284</v>
      </c>
      <c r="I271" s="94"/>
      <c r="J271" s="37"/>
    </row>
    <row r="272" spans="1:10" ht="12.95" customHeight="1" x14ac:dyDescent="0.3">
      <c r="B272" s="87">
        <f>Worksheet!BP30</f>
        <v>-50</v>
      </c>
      <c r="C272" s="101">
        <f>Worksheet!BQ30</f>
        <v>-0.10000000000000142</v>
      </c>
      <c r="D272" s="101">
        <f>Worksheet!BR30</f>
        <v>-0.10000000000000142</v>
      </c>
      <c r="E272" s="101">
        <f>Worksheet!BS30</f>
        <v>-0.10000000000000142</v>
      </c>
      <c r="F272" s="101">
        <f>Worksheet!BT30</f>
        <v>0.10000000000000142</v>
      </c>
      <c r="G272" s="101">
        <f>Worksheet!BU30</f>
        <v>0.10000000000000142</v>
      </c>
      <c r="H272" s="101">
        <f>Worksheet!BV30</f>
        <v>0.10000000000000142</v>
      </c>
      <c r="I272" s="94"/>
      <c r="J272" s="37"/>
    </row>
    <row r="273" spans="1:10" ht="12.95" customHeight="1" x14ac:dyDescent="0.3">
      <c r="B273" s="87">
        <f>Worksheet!BP31</f>
        <v>0</v>
      </c>
      <c r="C273" s="101">
        <f>Worksheet!BQ31</f>
        <v>0.1</v>
      </c>
      <c r="D273" s="101">
        <f>Worksheet!BR31</f>
        <v>-0.2</v>
      </c>
      <c r="E273" s="101">
        <f>Worksheet!BS31</f>
        <v>-0.2</v>
      </c>
      <c r="F273" s="101">
        <f>Worksheet!BT31</f>
        <v>0.1</v>
      </c>
      <c r="G273" s="101">
        <f>Worksheet!BU31</f>
        <v>-0.1</v>
      </c>
      <c r="H273" s="101">
        <f>Worksheet!BV31</f>
        <v>0.1</v>
      </c>
      <c r="I273" s="94"/>
      <c r="J273" s="37"/>
    </row>
    <row r="274" spans="1:10" ht="12.95" customHeight="1" x14ac:dyDescent="0.3">
      <c r="B274" s="87">
        <f>Worksheet!BP32</f>
        <v>250</v>
      </c>
      <c r="C274" s="101">
        <f>Worksheet!BQ32</f>
        <v>9.9999999999994316E-2</v>
      </c>
      <c r="D274" s="101">
        <f>Worksheet!BR32</f>
        <v>-0.19999999999998863</v>
      </c>
      <c r="E274" s="101">
        <f>Worksheet!BS32</f>
        <v>-0.19999999999998863</v>
      </c>
      <c r="F274" s="101">
        <f>Worksheet!BT32</f>
        <v>0.19999999999998863</v>
      </c>
      <c r="G274" s="101">
        <f>Worksheet!BU32</f>
        <v>0</v>
      </c>
      <c r="H274" s="101">
        <f>Worksheet!BV32</f>
        <v>9.9999999999994316E-2</v>
      </c>
      <c r="I274" s="92"/>
      <c r="J274" s="37"/>
    </row>
    <row r="275" spans="1:10" ht="12.95" customHeight="1" x14ac:dyDescent="0.3">
      <c r="B275" s="87">
        <f>Worksheet!BP33</f>
        <v>500</v>
      </c>
      <c r="C275" s="101">
        <f>Worksheet!BQ33</f>
        <v>0.10000000000002274</v>
      </c>
      <c r="D275" s="101">
        <f>Worksheet!BR33</f>
        <v>-0.19999999999998863</v>
      </c>
      <c r="E275" s="101">
        <f>Worksheet!BS33</f>
        <v>-0.30000000000001137</v>
      </c>
      <c r="F275" s="101">
        <f>Worksheet!BT33</f>
        <v>0.10000000000002274</v>
      </c>
      <c r="G275" s="101">
        <f>Worksheet!BU33</f>
        <v>0</v>
      </c>
      <c r="H275" s="101">
        <f>Worksheet!BV33</f>
        <v>0.10000000000002274</v>
      </c>
      <c r="I275" s="92"/>
      <c r="J275" s="37"/>
    </row>
    <row r="276" spans="1:10" ht="12.95" customHeight="1" x14ac:dyDescent="0.3">
      <c r="B276" s="87">
        <f>Worksheet!BP34</f>
        <v>1000</v>
      </c>
      <c r="C276" s="101">
        <f>Worksheet!BQ34</f>
        <v>0.10000000000002274</v>
      </c>
      <c r="D276" s="101">
        <f>Worksheet!BR34</f>
        <v>-0.20000000000004547</v>
      </c>
      <c r="E276" s="101">
        <f>Worksheet!BS34</f>
        <v>-0.29999999999995453</v>
      </c>
      <c r="F276" s="101">
        <f>Worksheet!BT34</f>
        <v>0.10000000000002274</v>
      </c>
      <c r="G276" s="101">
        <f>Worksheet!BU34</f>
        <v>0</v>
      </c>
      <c r="H276" s="101">
        <f>Worksheet!BV34</f>
        <v>0.10000000000002274</v>
      </c>
      <c r="I276" s="92"/>
      <c r="J276" s="37"/>
    </row>
    <row r="277" spans="1:10" ht="12.95" customHeight="1" x14ac:dyDescent="0.3">
      <c r="B277" s="92"/>
      <c r="C277" s="92"/>
      <c r="D277" s="92"/>
      <c r="E277" s="92"/>
      <c r="F277" s="92"/>
      <c r="G277" s="92"/>
      <c r="H277" s="92"/>
      <c r="I277" s="92"/>
      <c r="J277" s="37"/>
    </row>
    <row r="278" spans="1:10" ht="12.95" customHeight="1" x14ac:dyDescent="0.3">
      <c r="B278" s="92"/>
      <c r="C278" s="85" t="str">
        <f>Sheet1!B67</f>
        <v>POINT #19</v>
      </c>
      <c r="D278" s="85" t="str">
        <f>Sheet1!C67</f>
        <v>POINT#20</v>
      </c>
      <c r="E278" s="85" t="str">
        <f>Sheet1!D67</f>
        <v>POINT #21</v>
      </c>
      <c r="F278" s="85" t="str">
        <f>Sheet1!E67</f>
        <v>POINT #22</v>
      </c>
      <c r="G278" s="85" t="str">
        <f>Sheet1!F67</f>
        <v>POINT #23</v>
      </c>
      <c r="H278" s="85" t="str">
        <f>Sheet1!G67</f>
        <v>POINT #24</v>
      </c>
      <c r="I278" s="92"/>
      <c r="J278" s="37"/>
    </row>
    <row r="279" spans="1:10" ht="12.95" customHeight="1" x14ac:dyDescent="0.3">
      <c r="B279" s="87">
        <f>Worksheet!BP37</f>
        <v>-100</v>
      </c>
      <c r="C279" s="101">
        <f>Worksheet!BQ37</f>
        <v>-9.9999999999994316E-2</v>
      </c>
      <c r="D279" s="101">
        <f>Worksheet!BR37</f>
        <v>-9.9999999999994316E-2</v>
      </c>
      <c r="E279" s="101">
        <f>Worksheet!BS37</f>
        <v>-9.9999999999994316E-2</v>
      </c>
      <c r="F279" s="101">
        <f>Worksheet!BT37</f>
        <v>0</v>
      </c>
      <c r="G279" s="101">
        <f>Worksheet!BU37</f>
        <v>-0.20000000000000284</v>
      </c>
      <c r="H279" s="101">
        <f>Worksheet!BV37</f>
        <v>0.20000000000000284</v>
      </c>
      <c r="I279" s="92"/>
      <c r="J279" s="37"/>
    </row>
    <row r="280" spans="1:10" ht="12.95" customHeight="1" x14ac:dyDescent="0.3">
      <c r="B280" s="87">
        <f>Worksheet!BP38</f>
        <v>-50</v>
      </c>
      <c r="C280" s="101">
        <f>Worksheet!BQ38</f>
        <v>0.10000000000000142</v>
      </c>
      <c r="D280" s="101">
        <f>Worksheet!BR38</f>
        <v>-0.10000000000000142</v>
      </c>
      <c r="E280" s="101">
        <f>Worksheet!BS38</f>
        <v>0.10000000000000142</v>
      </c>
      <c r="F280" s="101">
        <f>Worksheet!BT38</f>
        <v>0.10000000000000142</v>
      </c>
      <c r="G280" s="101">
        <f>Worksheet!BU38</f>
        <v>-0.20000000000000284</v>
      </c>
      <c r="H280" s="101">
        <f>Worksheet!BV38</f>
        <v>0.20000000000000284</v>
      </c>
      <c r="I280" s="92"/>
      <c r="J280" s="37"/>
    </row>
    <row r="281" spans="1:10" ht="12.95" customHeight="1" x14ac:dyDescent="0.3">
      <c r="B281" s="87">
        <f>Worksheet!BP39</f>
        <v>0</v>
      </c>
      <c r="C281" s="101">
        <f>Worksheet!BQ39</f>
        <v>0</v>
      </c>
      <c r="D281" s="101">
        <f>Worksheet!BR39</f>
        <v>-0.1</v>
      </c>
      <c r="E281" s="101">
        <f>Worksheet!BS39</f>
        <v>0</v>
      </c>
      <c r="F281" s="101">
        <f>Worksheet!BT39</f>
        <v>0.1</v>
      </c>
      <c r="G281" s="101">
        <f>Worksheet!BU39</f>
        <v>-0.1</v>
      </c>
      <c r="H281" s="101">
        <f>Worksheet!BV39</f>
        <v>0</v>
      </c>
      <c r="I281" s="92"/>
      <c r="J281" s="37"/>
    </row>
    <row r="282" spans="1:10" ht="12.95" customHeight="1" x14ac:dyDescent="0.3">
      <c r="B282" s="87">
        <f>Worksheet!BP40</f>
        <v>250</v>
      </c>
      <c r="C282" s="101">
        <f>Worksheet!BQ40</f>
        <v>0</v>
      </c>
      <c r="D282" s="101">
        <f>Worksheet!BR40</f>
        <v>-9.9999999999994316E-2</v>
      </c>
      <c r="E282" s="101">
        <f>Worksheet!BS40</f>
        <v>9.9999999999994316E-2</v>
      </c>
      <c r="F282" s="101">
        <f>Worksheet!BT40</f>
        <v>9.9999999999994316E-2</v>
      </c>
      <c r="G282" s="101">
        <f>Worksheet!BU40</f>
        <v>-9.9999999999994316E-2</v>
      </c>
      <c r="H282" s="101">
        <f>Worksheet!BV40</f>
        <v>9.9999999999994316E-2</v>
      </c>
      <c r="I282" s="92"/>
      <c r="J282" s="37"/>
    </row>
    <row r="283" spans="1:10" ht="12.95" customHeight="1" x14ac:dyDescent="0.2">
      <c r="A283" s="81"/>
      <c r="B283" s="87">
        <f>Worksheet!BP41</f>
        <v>500</v>
      </c>
      <c r="C283" s="101">
        <f>Worksheet!BQ41</f>
        <v>-0.10000000000002274</v>
      </c>
      <c r="D283" s="101">
        <f>Worksheet!BR41</f>
        <v>-0.19999999999998863</v>
      </c>
      <c r="E283" s="101">
        <f>Worksheet!BS41</f>
        <v>0.10000000000002274</v>
      </c>
      <c r="F283" s="101">
        <f>Worksheet!BT41</f>
        <v>0.10000000000002274</v>
      </c>
      <c r="G283" s="101">
        <f>Worksheet!BU41</f>
        <v>-0.10000000000002274</v>
      </c>
      <c r="H283" s="101">
        <f>Worksheet!BV41</f>
        <v>-0.10000000000002274</v>
      </c>
      <c r="I283" s="84"/>
      <c r="J283" s="81"/>
    </row>
    <row r="284" spans="1:10" ht="12.95" customHeight="1" x14ac:dyDescent="0.3">
      <c r="B284" s="87">
        <f>Worksheet!BP42</f>
        <v>1000</v>
      </c>
      <c r="C284" s="101">
        <f>Worksheet!BQ42</f>
        <v>0</v>
      </c>
      <c r="D284" s="101">
        <f>Worksheet!BR42</f>
        <v>-0.29999999999995453</v>
      </c>
      <c r="E284" s="101">
        <f>Worksheet!BS42</f>
        <v>0.20000000000004547</v>
      </c>
      <c r="F284" s="101">
        <f>Worksheet!BT42</f>
        <v>0.10000000000002274</v>
      </c>
      <c r="G284" s="101">
        <f>Worksheet!BU42</f>
        <v>-0.10000000000002274</v>
      </c>
      <c r="H284" s="101">
        <f>Worksheet!BV42</f>
        <v>-0.20000000000004547</v>
      </c>
      <c r="I284" s="92"/>
      <c r="J284" s="37"/>
    </row>
    <row r="285" spans="1:10" ht="12.95" customHeight="1" x14ac:dyDescent="0.2">
      <c r="A285" s="82"/>
      <c r="B285" s="95"/>
      <c r="C285" s="95"/>
      <c r="D285" s="95"/>
      <c r="E285" s="95"/>
      <c r="F285" s="95"/>
      <c r="G285" s="95"/>
      <c r="H285" s="95"/>
      <c r="I285" s="95"/>
      <c r="J285" s="82"/>
    </row>
    <row r="286" spans="1:10" ht="12.95" customHeight="1" x14ac:dyDescent="0.2">
      <c r="A286" s="82"/>
      <c r="B286" s="95"/>
      <c r="C286" s="85" t="str">
        <f>Sheet1!B77</f>
        <v>POINT #25</v>
      </c>
      <c r="D286" s="85" t="str">
        <f>Sheet1!C77</f>
        <v>POINT #26</v>
      </c>
      <c r="E286" s="85" t="str">
        <f>Sheet1!D77</f>
        <v>POINT #27</v>
      </c>
      <c r="F286" s="85" t="str">
        <f>Sheet1!E77</f>
        <v>POINT #28</v>
      </c>
      <c r="G286" s="85" t="str">
        <f>Sheet1!F77</f>
        <v>POINT #29</v>
      </c>
      <c r="H286" s="85" t="str">
        <f>Sheet1!G77</f>
        <v>POINT #30</v>
      </c>
      <c r="I286" s="95"/>
      <c r="J286" s="82"/>
    </row>
    <row r="287" spans="1:10" ht="12.95" customHeight="1" x14ac:dyDescent="0.2">
      <c r="A287" s="82"/>
      <c r="B287" s="96">
        <f>Worksheet!BX13</f>
        <v>-100</v>
      </c>
      <c r="C287" s="102">
        <f>Worksheet!BY13</f>
        <v>9.9999999999994316E-2</v>
      </c>
      <c r="D287" s="102">
        <f>Worksheet!BZ13</f>
        <v>0</v>
      </c>
      <c r="E287" s="102">
        <f>Worksheet!CA13</f>
        <v>-0.20000000000000284</v>
      </c>
      <c r="F287" s="102">
        <f>Worksheet!CB13</f>
        <v>-9.9999999999994316E-2</v>
      </c>
      <c r="G287" s="102">
        <f>Worksheet!CC13</f>
        <v>-0.20000000000000284</v>
      </c>
      <c r="H287" s="102">
        <f>Worksheet!CD13</f>
        <v>-0.20000000000000284</v>
      </c>
      <c r="I287" s="95"/>
      <c r="J287" s="82"/>
    </row>
    <row r="288" spans="1:10" ht="12.95" customHeight="1" x14ac:dyDescent="0.2">
      <c r="B288" s="96">
        <f>Worksheet!BX14</f>
        <v>-50</v>
      </c>
      <c r="C288" s="102">
        <f>Worksheet!BY14</f>
        <v>0.10000000000000142</v>
      </c>
      <c r="D288" s="102">
        <f>Worksheet!BZ14</f>
        <v>0.20000000000000284</v>
      </c>
      <c r="E288" s="102">
        <f>Worksheet!CA14</f>
        <v>-0.10000000000000142</v>
      </c>
      <c r="F288" s="102">
        <f>Worksheet!CB14</f>
        <v>-0.10000000000000142</v>
      </c>
      <c r="G288" s="102">
        <f>Worksheet!CC14</f>
        <v>-0.10000000000000142</v>
      </c>
      <c r="H288" s="102">
        <f>Worksheet!CD14</f>
        <v>0</v>
      </c>
      <c r="I288" s="97"/>
      <c r="J288" s="83"/>
    </row>
    <row r="289" spans="2:9" ht="12.95" customHeight="1" x14ac:dyDescent="0.2">
      <c r="B289" s="96">
        <f>Worksheet!BX15</f>
        <v>0</v>
      </c>
      <c r="C289" s="102">
        <f>Worksheet!BY15</f>
        <v>0</v>
      </c>
      <c r="D289" s="102">
        <f>Worksheet!BZ15</f>
        <v>0.1</v>
      </c>
      <c r="E289" s="102">
        <f>Worksheet!CA15</f>
        <v>-0.1</v>
      </c>
      <c r="F289" s="102">
        <f>Worksheet!CB15</f>
        <v>0</v>
      </c>
      <c r="G289" s="102">
        <f>Worksheet!CC15</f>
        <v>0.1</v>
      </c>
      <c r="H289" s="102">
        <f>Worksheet!CD15</f>
        <v>0.1</v>
      </c>
      <c r="I289" s="97"/>
    </row>
    <row r="290" spans="2:9" ht="12.95" customHeight="1" x14ac:dyDescent="0.2">
      <c r="B290" s="96">
        <f>Worksheet!BX16</f>
        <v>250</v>
      </c>
      <c r="C290" s="102">
        <f>Worksheet!BY16</f>
        <v>9.9999999999994316E-2</v>
      </c>
      <c r="D290" s="102">
        <f>Worksheet!BZ16</f>
        <v>9.9999999999994316E-2</v>
      </c>
      <c r="E290" s="102">
        <f>Worksheet!CA16</f>
        <v>0.19999999999998863</v>
      </c>
      <c r="F290" s="102">
        <f>Worksheet!CB16</f>
        <v>9.9999999999994316E-2</v>
      </c>
      <c r="G290" s="102">
        <f>Worksheet!CC16</f>
        <v>-0.19999999999998863</v>
      </c>
      <c r="H290" s="102">
        <f>Worksheet!CD16</f>
        <v>-9.9999999999994316E-2</v>
      </c>
      <c r="I290" s="98"/>
    </row>
    <row r="291" spans="2:9" ht="12.95" customHeight="1" x14ac:dyDescent="0.2">
      <c r="B291" s="96">
        <f>Worksheet!BX17</f>
        <v>500</v>
      </c>
      <c r="C291" s="102">
        <f>Worksheet!BY17</f>
        <v>0.10000000000002274</v>
      </c>
      <c r="D291" s="102">
        <f>Worksheet!BZ17</f>
        <v>0.10000000000002274</v>
      </c>
      <c r="E291" s="102">
        <f>Worksheet!CA17</f>
        <v>0.19999999999998863</v>
      </c>
      <c r="F291" s="102">
        <f>Worksheet!CB17</f>
        <v>0.10000000000002274</v>
      </c>
      <c r="G291" s="102">
        <f>Worksheet!CC17</f>
        <v>-0.10000000000002274</v>
      </c>
      <c r="H291" s="102">
        <f>Worksheet!CD17</f>
        <v>0</v>
      </c>
      <c r="I291" s="98"/>
    </row>
    <row r="292" spans="2:9" ht="12.95" customHeight="1" x14ac:dyDescent="0.2">
      <c r="B292" s="96">
        <f>Worksheet!BX18</f>
        <v>1000</v>
      </c>
      <c r="C292" s="102">
        <f>Worksheet!BY18</f>
        <v>0.20000000000004547</v>
      </c>
      <c r="D292" s="102">
        <f>Worksheet!BZ18</f>
        <v>0.10000000000002274</v>
      </c>
      <c r="E292" s="102">
        <f>Worksheet!CA18</f>
        <v>0.29999999999995453</v>
      </c>
      <c r="F292" s="102">
        <f>Worksheet!CB18</f>
        <v>0.20000000000004547</v>
      </c>
      <c r="G292" s="102">
        <f>Worksheet!CC18</f>
        <v>-0.10000000000002274</v>
      </c>
      <c r="H292" s="102">
        <f>Worksheet!CD18</f>
        <v>0</v>
      </c>
      <c r="I292" s="98"/>
    </row>
    <row r="293" spans="2:9" ht="12.95" customHeight="1" x14ac:dyDescent="0.2">
      <c r="B293" s="99"/>
      <c r="C293" s="99"/>
      <c r="D293" s="99"/>
      <c r="E293" s="99"/>
      <c r="F293" s="99"/>
      <c r="G293" s="99"/>
      <c r="H293" s="99"/>
      <c r="I293" s="99"/>
    </row>
    <row r="294" spans="2:9" ht="12.95" customHeight="1" x14ac:dyDescent="0.2">
      <c r="B294" s="100"/>
      <c r="C294" s="85" t="str">
        <f>Sheet1!B85</f>
        <v>POINT #31</v>
      </c>
      <c r="D294" s="85" t="str">
        <f>Sheet1!C85</f>
        <v>POINT #32</v>
      </c>
      <c r="E294" s="85" t="str">
        <f>Sheet1!D85</f>
        <v>POINT #33</v>
      </c>
      <c r="F294" s="85" t="str">
        <f>Sheet1!E85</f>
        <v>POINT #34</v>
      </c>
      <c r="G294" s="85" t="str">
        <f>Sheet1!F85</f>
        <v>POINT #35</v>
      </c>
      <c r="H294" s="85" t="str">
        <f>Sheet1!G85</f>
        <v>POINT #36</v>
      </c>
      <c r="I294" s="100"/>
    </row>
    <row r="295" spans="2:9" ht="12.95" customHeight="1" x14ac:dyDescent="0.2">
      <c r="B295" s="96">
        <f>Worksheet!BX21</f>
        <v>-100</v>
      </c>
      <c r="C295" s="102">
        <f>Worksheet!BY21</f>
        <v>-9.9999999999994316E-2</v>
      </c>
      <c r="D295" s="102">
        <f>Worksheet!BZ21</f>
        <v>0</v>
      </c>
      <c r="E295" s="102">
        <f>Worksheet!CA21</f>
        <v>-0.20000000000000284</v>
      </c>
      <c r="F295" s="102">
        <f>Worksheet!CB21</f>
        <v>-0.20000000000000284</v>
      </c>
      <c r="G295" s="102">
        <f>Worksheet!CC21</f>
        <v>-0.20000000000000284</v>
      </c>
      <c r="H295" s="102">
        <f>Worksheet!CD21</f>
        <v>-0.29999999999999716</v>
      </c>
      <c r="I295" s="100"/>
    </row>
    <row r="296" spans="2:9" ht="12.95" customHeight="1" x14ac:dyDescent="0.2">
      <c r="B296" s="96">
        <f>Worksheet!BX22</f>
        <v>-50</v>
      </c>
      <c r="C296" s="102">
        <f>Worksheet!BY22</f>
        <v>0.10000000000000142</v>
      </c>
      <c r="D296" s="102">
        <f>Worksheet!BZ22</f>
        <v>0</v>
      </c>
      <c r="E296" s="102">
        <f>Worksheet!CA22</f>
        <v>-0.10000000000000142</v>
      </c>
      <c r="F296" s="102">
        <f>Worksheet!CB22</f>
        <v>-0.20000000000000284</v>
      </c>
      <c r="G296" s="102">
        <f>Worksheet!CC22</f>
        <v>-0.10000000000000142</v>
      </c>
      <c r="H296" s="102">
        <f>Worksheet!CD22</f>
        <v>-0.20000000000000284</v>
      </c>
      <c r="I296" s="100"/>
    </row>
    <row r="297" spans="2:9" ht="12.95" customHeight="1" x14ac:dyDescent="0.2">
      <c r="B297" s="96">
        <f>Worksheet!BX23</f>
        <v>0</v>
      </c>
      <c r="C297" s="102">
        <f>Worksheet!BY23</f>
        <v>0.2</v>
      </c>
      <c r="D297" s="102">
        <f>Worksheet!BZ23</f>
        <v>0.2</v>
      </c>
      <c r="E297" s="102">
        <f>Worksheet!CA23</f>
        <v>0.1</v>
      </c>
      <c r="F297" s="102">
        <f>Worksheet!CB23</f>
        <v>0.1</v>
      </c>
      <c r="G297" s="102">
        <f>Worksheet!CC23</f>
        <v>0.1</v>
      </c>
      <c r="H297" s="102">
        <f>Worksheet!CD23</f>
        <v>0.1</v>
      </c>
      <c r="I297" s="100"/>
    </row>
    <row r="298" spans="2:9" ht="12.95" customHeight="1" x14ac:dyDescent="0.2">
      <c r="B298" s="96">
        <f>Worksheet!BX24</f>
        <v>250</v>
      </c>
      <c r="C298" s="102">
        <f>Worksheet!BY24</f>
        <v>0</v>
      </c>
      <c r="D298" s="102">
        <f>Worksheet!BZ24</f>
        <v>9.9999999999994316E-2</v>
      </c>
      <c r="E298" s="102">
        <f>Worksheet!CA24</f>
        <v>-0.19999999999998863</v>
      </c>
      <c r="F298" s="102">
        <f>Worksheet!CB24</f>
        <v>-0.30000000000001137</v>
      </c>
      <c r="G298" s="102">
        <f>Worksheet!CC24</f>
        <v>-0.19999999999998863</v>
      </c>
      <c r="H298" s="102">
        <f>Worksheet!CD24</f>
        <v>0</v>
      </c>
      <c r="I298" s="100"/>
    </row>
    <row r="299" spans="2:9" ht="12.95" customHeight="1" x14ac:dyDescent="0.2">
      <c r="B299" s="96">
        <f>Worksheet!BX25</f>
        <v>500</v>
      </c>
      <c r="C299" s="102">
        <f>Worksheet!BY25</f>
        <v>0.10000000000002274</v>
      </c>
      <c r="D299" s="102">
        <f>Worksheet!BZ25</f>
        <v>0.10000000000002274</v>
      </c>
      <c r="E299" s="102">
        <f>Worksheet!CA25</f>
        <v>0</v>
      </c>
      <c r="F299" s="102">
        <f>Worksheet!CB25</f>
        <v>0.10000000000002274</v>
      </c>
      <c r="G299" s="102">
        <f>Worksheet!CC25</f>
        <v>0</v>
      </c>
      <c r="H299" s="102">
        <f>Worksheet!CD25</f>
        <v>0.19999999999998863</v>
      </c>
      <c r="I299" s="100"/>
    </row>
    <row r="300" spans="2:9" ht="12.95" customHeight="1" x14ac:dyDescent="0.2">
      <c r="B300" s="96">
        <f>Worksheet!BX26</f>
        <v>1000</v>
      </c>
      <c r="C300" s="102">
        <f>Worksheet!BY26</f>
        <v>0</v>
      </c>
      <c r="D300" s="102">
        <f>Worksheet!BZ26</f>
        <v>0.20000000000004547</v>
      </c>
      <c r="E300" s="102">
        <f>Worksheet!CA26</f>
        <v>0.10000000000002274</v>
      </c>
      <c r="F300" s="102">
        <f>Worksheet!CB26</f>
        <v>0.29999999999995453</v>
      </c>
      <c r="G300" s="102">
        <f>Worksheet!CC26</f>
        <v>0.10000000000002274</v>
      </c>
      <c r="H300" s="102">
        <f>Worksheet!CD26</f>
        <v>0.20000000000004547</v>
      </c>
      <c r="I300" s="100"/>
    </row>
    <row r="301" spans="2:9" ht="12.95" customHeight="1" x14ac:dyDescent="0.2">
      <c r="B301" s="100"/>
      <c r="C301" s="100"/>
      <c r="D301" s="100"/>
      <c r="E301" s="100"/>
      <c r="F301" s="100"/>
      <c r="G301" s="100"/>
      <c r="H301" s="100"/>
      <c r="I301" s="100"/>
    </row>
    <row r="302" spans="2:9" ht="12.95" customHeight="1" x14ac:dyDescent="0.2">
      <c r="B302" s="100"/>
      <c r="C302" s="85" t="str">
        <f>Sheet1!B95</f>
        <v>POINT #37</v>
      </c>
      <c r="D302" s="85" t="str">
        <f>Sheet1!C95</f>
        <v>POINT #38</v>
      </c>
      <c r="E302" s="85" t="str">
        <f>Sheet1!D95</f>
        <v>POINT #39</v>
      </c>
      <c r="F302" s="85" t="str">
        <f>Sheet1!E95</f>
        <v>POINT #40</v>
      </c>
      <c r="G302" s="85"/>
      <c r="H302" s="85"/>
      <c r="I302" s="100"/>
    </row>
    <row r="303" spans="2:9" ht="12.95" customHeight="1" x14ac:dyDescent="0.2">
      <c r="B303" s="96">
        <f>Worksheet!BX29</f>
        <v>-100</v>
      </c>
      <c r="C303" s="102">
        <f>Worksheet!BY29</f>
        <v>-0.5</v>
      </c>
      <c r="D303" s="102">
        <f>Worksheet!BZ29</f>
        <v>-9.9999999999994316E-2</v>
      </c>
      <c r="E303" s="102">
        <f>Worksheet!CA29</f>
        <v>0.20000000000000284</v>
      </c>
      <c r="F303" s="102">
        <f>Worksheet!CB29</f>
        <v>9.9999999999994316E-2</v>
      </c>
      <c r="G303" s="100"/>
      <c r="H303" s="100"/>
      <c r="I303" s="100"/>
    </row>
    <row r="304" spans="2:9" ht="12.95" customHeight="1" x14ac:dyDescent="0.2">
      <c r="B304" s="96">
        <f>Worksheet!BX30</f>
        <v>-50</v>
      </c>
      <c r="C304" s="102">
        <f>Worksheet!BY30</f>
        <v>-0.29999999999999716</v>
      </c>
      <c r="D304" s="102">
        <f>Worksheet!BZ30</f>
        <v>0.20000000000000284</v>
      </c>
      <c r="E304" s="102">
        <f>Worksheet!CA30</f>
        <v>0</v>
      </c>
      <c r="F304" s="102">
        <f>Worksheet!CB30</f>
        <v>0</v>
      </c>
      <c r="G304" s="100"/>
      <c r="H304" s="100"/>
      <c r="I304" s="100"/>
    </row>
    <row r="305" spans="2:9" ht="12.95" customHeight="1" x14ac:dyDescent="0.2">
      <c r="B305" s="96">
        <f>Worksheet!BX31</f>
        <v>0</v>
      </c>
      <c r="C305" s="102">
        <f>Worksheet!BY31</f>
        <v>0.3</v>
      </c>
      <c r="D305" s="102">
        <f>Worksheet!BZ31</f>
        <v>0.2</v>
      </c>
      <c r="E305" s="102">
        <f>Worksheet!CA31</f>
        <v>0.2</v>
      </c>
      <c r="F305" s="102">
        <f>Worksheet!CB31</f>
        <v>0.2</v>
      </c>
      <c r="G305" s="100"/>
      <c r="H305" s="100"/>
      <c r="I305" s="100"/>
    </row>
    <row r="306" spans="2:9" ht="12.95" customHeight="1" x14ac:dyDescent="0.2">
      <c r="B306" s="96">
        <f>Worksheet!BX32</f>
        <v>250</v>
      </c>
      <c r="C306" s="102">
        <f>Worksheet!BY32</f>
        <v>0.30000000000001137</v>
      </c>
      <c r="D306" s="102">
        <f>Worksheet!BZ32</f>
        <v>0.19999999999998863</v>
      </c>
      <c r="E306" s="102">
        <f>Worksheet!CA32</f>
        <v>0.30000000000001137</v>
      </c>
      <c r="F306" s="102">
        <f>Worksheet!CB32</f>
        <v>9.9999999999994316E-2</v>
      </c>
      <c r="G306" s="100"/>
      <c r="H306" s="100"/>
      <c r="I306" s="100"/>
    </row>
    <row r="307" spans="2:9" ht="12.95" customHeight="1" x14ac:dyDescent="0.2">
      <c r="B307" s="96">
        <f>Worksheet!BX33</f>
        <v>500</v>
      </c>
      <c r="C307" s="102">
        <f>Worksheet!BY33</f>
        <v>0.39999999999997726</v>
      </c>
      <c r="D307" s="102">
        <f>Worksheet!BZ33</f>
        <v>0.30000000000001137</v>
      </c>
      <c r="E307" s="102">
        <f>Worksheet!CA33</f>
        <v>0</v>
      </c>
      <c r="F307" s="102">
        <f>Worksheet!CB33</f>
        <v>0.10000000000002274</v>
      </c>
      <c r="G307" s="100"/>
      <c r="H307" s="100"/>
      <c r="I307" s="100"/>
    </row>
    <row r="308" spans="2:9" ht="12.95" customHeight="1" x14ac:dyDescent="0.2">
      <c r="B308" s="96">
        <f>Worksheet!BX34</f>
        <v>1000</v>
      </c>
      <c r="C308" s="102">
        <f>Worksheet!BY34</f>
        <v>0.5</v>
      </c>
      <c r="D308" s="102">
        <f>Worksheet!BZ34</f>
        <v>0.29999999999995453</v>
      </c>
      <c r="E308" s="102">
        <f>Worksheet!CA34</f>
        <v>0.10000000000002274</v>
      </c>
      <c r="F308" s="102">
        <f>Worksheet!CB34</f>
        <v>0.10000000000002274</v>
      </c>
      <c r="G308" s="100"/>
      <c r="H308" s="100"/>
      <c r="I308" s="100"/>
    </row>
    <row r="309" spans="2:9" ht="12.95" customHeight="1" x14ac:dyDescent="0.2"/>
  </sheetData>
  <mergeCells count="118">
    <mergeCell ref="A224:J226"/>
    <mergeCell ref="B229:I233"/>
    <mergeCell ref="C234:F234"/>
    <mergeCell ref="E238:F238"/>
    <mergeCell ref="B239:C239"/>
    <mergeCell ref="D239:E239"/>
    <mergeCell ref="H239:I239"/>
    <mergeCell ref="B242:C242"/>
    <mergeCell ref="D242:E242"/>
    <mergeCell ref="H242:I242"/>
    <mergeCell ref="B240:C240"/>
    <mergeCell ref="D240:E240"/>
    <mergeCell ref="H240:I240"/>
    <mergeCell ref="B241:C241"/>
    <mergeCell ref="D241:E241"/>
    <mergeCell ref="H241:I241"/>
    <mergeCell ref="A188:J188"/>
    <mergeCell ref="C200:E200"/>
    <mergeCell ref="H200:J200"/>
    <mergeCell ref="C201:E201"/>
    <mergeCell ref="H201:J201"/>
    <mergeCell ref="C202:E202"/>
    <mergeCell ref="H202:J202"/>
    <mergeCell ref="C204:H204"/>
    <mergeCell ref="A222:J222"/>
    <mergeCell ref="B180:C180"/>
    <mergeCell ref="D180:E180"/>
    <mergeCell ref="H180:I180"/>
    <mergeCell ref="B181:C181"/>
    <mergeCell ref="D181:E181"/>
    <mergeCell ref="H181:I181"/>
    <mergeCell ref="A184:J184"/>
    <mergeCell ref="A185:J185"/>
    <mergeCell ref="A186:J186"/>
    <mergeCell ref="A161:J161"/>
    <mergeCell ref="A163:J165"/>
    <mergeCell ref="B168:I172"/>
    <mergeCell ref="C173:F173"/>
    <mergeCell ref="E177:F177"/>
    <mergeCell ref="B178:C178"/>
    <mergeCell ref="D178:E178"/>
    <mergeCell ref="H178:I178"/>
    <mergeCell ref="B179:C179"/>
    <mergeCell ref="D179:E179"/>
    <mergeCell ref="H179:I179"/>
    <mergeCell ref="A125:J125"/>
    <mergeCell ref="A127:J127"/>
    <mergeCell ref="C139:E139"/>
    <mergeCell ref="H139:J139"/>
    <mergeCell ref="C140:E140"/>
    <mergeCell ref="H140:J140"/>
    <mergeCell ref="C141:E141"/>
    <mergeCell ref="H141:J141"/>
    <mergeCell ref="C143:H143"/>
    <mergeCell ref="B120:C120"/>
    <mergeCell ref="D120:E120"/>
    <mergeCell ref="H120:I120"/>
    <mergeCell ref="A123:J123"/>
    <mergeCell ref="A124:J124"/>
    <mergeCell ref="B118:C118"/>
    <mergeCell ref="D118:E118"/>
    <mergeCell ref="H118:I118"/>
    <mergeCell ref="B119:C119"/>
    <mergeCell ref="D119:E119"/>
    <mergeCell ref="C82:H82"/>
    <mergeCell ref="A100:J100"/>
    <mergeCell ref="H119:I119"/>
    <mergeCell ref="A102:J104"/>
    <mergeCell ref="B107:I111"/>
    <mergeCell ref="C112:F112"/>
    <mergeCell ref="E116:F116"/>
    <mergeCell ref="B117:C117"/>
    <mergeCell ref="D117:E117"/>
    <mergeCell ref="H117:I117"/>
    <mergeCell ref="A62:J62"/>
    <mergeCell ref="A63:J63"/>
    <mergeCell ref="A64:J64"/>
    <mergeCell ref="A66:J66"/>
    <mergeCell ref="C78:E78"/>
    <mergeCell ref="H78:J78"/>
    <mergeCell ref="C79:E79"/>
    <mergeCell ref="H79:J79"/>
    <mergeCell ref="C80:E80"/>
    <mergeCell ref="H80:J80"/>
    <mergeCell ref="H19:J19"/>
    <mergeCell ref="H17:J17"/>
    <mergeCell ref="H18:J18"/>
    <mergeCell ref="C21:H21"/>
    <mergeCell ref="B46:I50"/>
    <mergeCell ref="C51:F51"/>
    <mergeCell ref="E55:F55"/>
    <mergeCell ref="B56:C56"/>
    <mergeCell ref="D56:E56"/>
    <mergeCell ref="H56:I56"/>
    <mergeCell ref="A245:J245"/>
    <mergeCell ref="A246:J246"/>
    <mergeCell ref="A247:J247"/>
    <mergeCell ref="A249:J249"/>
    <mergeCell ref="C253:I253"/>
    <mergeCell ref="C261:E261"/>
    <mergeCell ref="A1:J1"/>
    <mergeCell ref="A2:J2"/>
    <mergeCell ref="A3:J3"/>
    <mergeCell ref="A5:J5"/>
    <mergeCell ref="B59:C59"/>
    <mergeCell ref="D59:E59"/>
    <mergeCell ref="H59:I59"/>
    <mergeCell ref="B57:C57"/>
    <mergeCell ref="D57:E57"/>
    <mergeCell ref="H57:I57"/>
    <mergeCell ref="B58:C58"/>
    <mergeCell ref="D58:E58"/>
    <mergeCell ref="H58:I58"/>
    <mergeCell ref="A39:J39"/>
    <mergeCell ref="A41:J43"/>
    <mergeCell ref="C17:E17"/>
    <mergeCell ref="C18:E18"/>
    <mergeCell ref="C19:E19"/>
  </mergeCells>
  <phoneticPr fontId="0" type="noConversion"/>
  <pageMargins left="0.5" right="0" top="0.5" bottom="0.75" header="0.5" footer="0.5"/>
  <pageSetup scale="76" orientation="portrait" r:id="rId1"/>
  <headerFooter alignWithMargins="0"/>
  <rowBreaks count="3" manualBreakCount="3">
    <brk id="61" max="9" man="1"/>
    <brk id="122" max="9" man="1"/>
    <brk id="183" max="9" man="1"/>
  </rowBreaks>
  <customProperties>
    <customPr name="%locator_row%"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RowHeight="12.75" x14ac:dyDescent="0.2"/>
  <sheetData/>
  <phoneticPr fontId="0" type="noConversion"/>
  <pageMargins left="0.75" right="0.75" top="1" bottom="1" header="0.5" footer="0.5"/>
  <headerFooter alignWithMargins="0"/>
  <customProperties>
    <customPr name="%locator_row%"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F11"/>
  <sheetViews>
    <sheetView workbookViewId="0">
      <selection activeCell="F4" sqref="F4"/>
    </sheetView>
  </sheetViews>
  <sheetFormatPr defaultRowHeight="12.75" x14ac:dyDescent="0.2"/>
  <cols>
    <col min="2" max="2" width="29.85546875" customWidth="1"/>
    <col min="3" max="3" width="4.5703125" customWidth="1"/>
    <col min="4" max="4" width="16.42578125" customWidth="1"/>
    <col min="6" max="6" width="22.42578125" customWidth="1"/>
  </cols>
  <sheetData>
    <row r="1" spans="2:6" ht="15" x14ac:dyDescent="0.25">
      <c r="B1" s="32" t="s">
        <v>88</v>
      </c>
      <c r="D1" s="32" t="s">
        <v>94</v>
      </c>
      <c r="F1" s="33" t="s">
        <v>99</v>
      </c>
    </row>
    <row r="2" spans="2:6" x14ac:dyDescent="0.2">
      <c r="B2" t="s">
        <v>89</v>
      </c>
      <c r="D2" s="23" t="s">
        <v>95</v>
      </c>
      <c r="F2" t="s">
        <v>100</v>
      </c>
    </row>
    <row r="3" spans="2:6" x14ac:dyDescent="0.2">
      <c r="B3" s="23" t="s">
        <v>91</v>
      </c>
      <c r="D3" s="23" t="s">
        <v>96</v>
      </c>
      <c r="F3" s="23" t="s">
        <v>154</v>
      </c>
    </row>
    <row r="4" spans="2:6" x14ac:dyDescent="0.2">
      <c r="B4" t="s">
        <v>90</v>
      </c>
      <c r="F4" t="s">
        <v>101</v>
      </c>
    </row>
    <row r="5" spans="2:6" x14ac:dyDescent="0.2">
      <c r="B5" t="s">
        <v>92</v>
      </c>
      <c r="F5" t="s">
        <v>107</v>
      </c>
    </row>
    <row r="6" spans="2:6" x14ac:dyDescent="0.2">
      <c r="B6" t="s">
        <v>93</v>
      </c>
      <c r="F6" t="s">
        <v>102</v>
      </c>
    </row>
    <row r="7" spans="2:6" x14ac:dyDescent="0.2">
      <c r="F7" t="s">
        <v>103</v>
      </c>
    </row>
    <row r="8" spans="2:6" x14ac:dyDescent="0.2">
      <c r="F8" t="s">
        <v>108</v>
      </c>
    </row>
    <row r="9" spans="2:6" x14ac:dyDescent="0.2">
      <c r="F9" t="s">
        <v>104</v>
      </c>
    </row>
    <row r="10" spans="2:6" x14ac:dyDescent="0.2">
      <c r="F10" t="s">
        <v>105</v>
      </c>
    </row>
    <row r="11" spans="2:6" x14ac:dyDescent="0.2">
      <c r="F11" t="s">
        <v>106</v>
      </c>
    </row>
  </sheetData>
  <pageMargins left="0.7" right="0.7" top="0.75" bottom="0.75" header="0.3" footer="0.3"/>
  <customProperties>
    <customPr name="%locator_row%"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3CBD8C-02B4-4A1B-96A3-0E70A08FF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ACB6862-95ED-49CD-BC6C-3E9A041EB431}">
  <ds:schemaRefs>
    <ds:schemaRef ds:uri="http://schemas.microsoft.com/office/2006/metadata/properties"/>
    <ds:schemaRef ds:uri="http://schemas.microsoft.com/office/infopath/2007/PartnerControls"/>
    <ds:schemaRef ds:uri="a7c4c7f9-987c-475d-a26a-521e5d0f4dc5"/>
    <ds:schemaRef ds:uri="1ed8a9e0-df63-4c43-b0d4-c670c11769ef"/>
  </ds:schemaRefs>
</ds:datastoreItem>
</file>

<file path=customXml/itemProps3.xml><?xml version="1.0" encoding="utf-8"?>
<ds:datastoreItem xmlns:ds="http://schemas.openxmlformats.org/officeDocument/2006/customXml" ds:itemID="{3E87CC45-F4FF-4C3B-8BEE-BC4A65F4F11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Sheet1</vt:lpstr>
      <vt:lpstr>Worksheet</vt:lpstr>
      <vt:lpstr>Cert</vt:lpstr>
      <vt:lpstr>Customer List</vt:lpstr>
      <vt:lpstr>Selections</vt:lpstr>
      <vt:lpstr>Locator</vt:lpstr>
      <vt:lpstr>Cert!Print_Area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Kevin Ferrante</cp:lastModifiedBy>
  <cp:lastPrinted>2025-03-31T10:37:55Z</cp:lastPrinted>
  <dcterms:created xsi:type="dcterms:W3CDTF">2009-01-22T23:10:33Z</dcterms:created>
  <dcterms:modified xsi:type="dcterms:W3CDTF">2025-03-31T10:38:03Z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